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0" documentId="8_{1FE22230-1323-4E7E-ACAE-317EE2085CE3}" xr6:coauthVersionLast="47" xr6:coauthVersionMax="47" xr10:uidLastSave="{154EFE5C-EC9C-45A8-A64A-749DBD724F48}"/>
  <bookViews>
    <workbookView xWindow="28680" yWindow="-120" windowWidth="29040" windowHeight="15720" xr2:uid="{3FA788D3-39FF-4F82-9160-B2DCBC7D2E5E}"/>
  </bookViews>
  <sheets>
    <sheet name="Customer aging report (61)" sheetId="1" r:id="rId1"/>
  </sheets>
  <definedNames>
    <definedName name="_xlnm._FilterDatabase" localSheetId="0" hidden="1">'Customer aging report (61)'!$A$3:$N$179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1" i="1" l="1"/>
  <c r="J181" i="1"/>
  <c r="I181" i="1"/>
  <c r="H181" i="1"/>
  <c r="F181" i="1"/>
  <c r="M77" i="1"/>
  <c r="G65" i="1"/>
  <c r="G181" i="1" s="1"/>
  <c r="M100" i="1"/>
  <c r="M99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35" i="1"/>
  <c r="M181" i="1" l="1"/>
</calcChain>
</file>

<file path=xl/sharedStrings.xml><?xml version="1.0" encoding="utf-8"?>
<sst xmlns="http://schemas.openxmlformats.org/spreadsheetml/2006/main" count="738" uniqueCount="405">
  <si>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</si>
  <si>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</si>
  <si>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</si>
  <si>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</si>
  <si>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</si>
  <si>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</si>
  <si>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</si>
  <si>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</si>
  <si>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C00243</t>
  </si>
  <si>
    <t>Clyde Importers Ltd</t>
  </si>
  <si>
    <t>C00325</t>
  </si>
  <si>
    <t>Dirty Bs Vape Bar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</si>
  <si>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</si>
  <si>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</si>
  <si>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</si>
  <si>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</si>
  <si>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</si>
  <si>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</si>
  <si>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</si>
  <si>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</si>
  <si>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</si>
  <si>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</si>
  <si>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</si>
  <si>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</si>
  <si>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</si>
  <si>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</si>
  <si>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</si>
  <si>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</si>
  <si>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</si>
  <si>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</si>
  <si>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</si>
  <si>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</si>
  <si>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</si>
  <si>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</si>
  <si>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</si>
  <si>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</si>
  <si>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C00714</t>
  </si>
  <si>
    <t>Kumulus Vape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</si>
  <si>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</si>
  <si>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</si>
  <si>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</si>
  <si>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</si>
  <si>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</si>
  <si>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</si>
  <si>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</si>
  <si>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</si>
  <si>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</si>
  <si>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</si>
  <si>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</si>
  <si>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</si>
  <si>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</si>
  <si>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</si>
  <si>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</si>
  <si>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</si>
  <si>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C00949</t>
  </si>
  <si>
    <t>Oxford Vapours LTD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</si>
  <si>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</si>
  <si>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</si>
  <si>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</si>
  <si>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</si>
  <si>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</si>
  <si>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</si>
  <si>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</si>
  <si>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</si>
  <si>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C01075</t>
  </si>
  <si>
    <t>REVAPE LTD</t>
  </si>
  <si>
    <t>C01142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</si>
  <si>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</si>
  <si>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</si>
  <si>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</si>
  <si>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</si>
  <si>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</si>
  <si>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</si>
  <si>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</si>
  <si>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</si>
  <si>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</si>
  <si>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</si>
  <si>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</si>
  <si>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</si>
  <si>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</si>
  <si>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</si>
  <si>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</si>
  <si>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</si>
  <si>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</si>
  <si>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</si>
  <si>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</si>
  <si>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</si>
  <si>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</si>
  <si>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</si>
  <si>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</si>
  <si>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C01648</t>
  </si>
  <si>
    <t>Vaping 101 (Coffee Time)</t>
  </si>
  <si>
    <t>C01742</t>
  </si>
  <si>
    <t>Vape Jungle</t>
  </si>
  <si>
    <t>C01765</t>
  </si>
  <si>
    <t>Future Juice</t>
  </si>
  <si>
    <t>C01795</t>
  </si>
  <si>
    <t>VapeHQ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</si>
  <si>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</si>
  <si>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</si>
  <si>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</si>
  <si>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</si>
  <si>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</si>
  <si>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</si>
  <si>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</si>
  <si>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</si>
  <si>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</si>
  <si>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</si>
  <si>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</si>
  <si>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</si>
  <si>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</si>
  <si>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</si>
  <si>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</si>
  <si>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</si>
  <si>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</si>
  <si>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</si>
  <si>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</si>
  <si>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</si>
  <si>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C02314</t>
  </si>
  <si>
    <t>UK Ecig Vendor Ltd t/a UK Aspire Vendor</t>
  </si>
  <si>
    <t>C02360</t>
  </si>
  <si>
    <t>Vape UK - Jordan Robertson</t>
  </si>
  <si>
    <t>C02398</t>
  </si>
  <si>
    <t>V&amp;M Tolworth Ltd</t>
  </si>
  <si>
    <t>C02407</t>
  </si>
  <si>
    <t>Vape UK - Dylan Connor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</si>
  <si>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</si>
  <si>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</si>
  <si>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</si>
  <si>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</si>
  <si>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</si>
  <si>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</si>
  <si>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</si>
  <si>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</si>
  <si>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</si>
  <si>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</si>
  <si>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</si>
  <si>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</si>
  <si>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</si>
  <si>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</si>
  <si>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</si>
  <si>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</si>
  <si>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</si>
  <si>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</si>
  <si>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</si>
  <si>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</si>
  <si>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</si>
  <si>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</si>
  <si>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</si>
  <si>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</si>
  <si>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</si>
  <si>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</si>
  <si>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</si>
  <si>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</si>
  <si>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</si>
  <si>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</si>
  <si>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</si>
  <si>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</si>
  <si>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</si>
  <si>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</si>
  <si>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</si>
  <si>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</si>
  <si>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</si>
  <si>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</si>
  <si>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</si>
  <si>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</si>
  <si>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</si>
  <si>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</si>
  <si>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</si>
  <si>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</si>
  <si>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</si>
  <si>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</si>
  <si>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</si>
  <si>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</si>
  <si>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</si>
  <si>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</si>
  <si>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</si>
  <si>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</si>
  <si>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</si>
  <si>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</si>
  <si>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</si>
  <si>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</si>
  <si>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</si>
  <si>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</si>
  <si>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</si>
  <si>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</si>
  <si>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</si>
  <si>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</si>
  <si>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</si>
  <si>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</si>
  <si>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</si>
  <si>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</si>
  <si>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</si>
  <si>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</si>
  <si>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</si>
  <si>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</si>
  <si>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</si>
  <si>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</si>
  <si>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</si>
  <si>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</si>
  <si>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</si>
  <si>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C04273</t>
  </si>
  <si>
    <t>Eco Smok Limited - Aurangzaib Shaikh</t>
  </si>
  <si>
    <t>C04329</t>
  </si>
  <si>
    <t>888 Vapour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</si>
  <si>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</si>
  <si>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</si>
  <si>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</si>
  <si>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</si>
  <si>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</si>
  <si>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</si>
  <si>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</si>
  <si>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</si>
  <si>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</si>
  <si>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</si>
  <si>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</si>
  <si>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</si>
  <si>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</si>
  <si>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</si>
  <si>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</si>
  <si>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</si>
  <si>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</si>
  <si>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</si>
  <si>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</si>
  <si>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</si>
  <si>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</si>
  <si>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</si>
  <si>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</si>
  <si>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</si>
  <si>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</si>
  <si>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</si>
  <si>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</si>
  <si>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CLK TRADE LIMITED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</si>
  <si>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</si>
  <si>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</si>
  <si>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</si>
  <si>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</si>
  <si>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</si>
  <si>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</si>
  <si>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</si>
  <si>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</si>
  <si>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</si>
  <si>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</si>
  <si>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</si>
  <si>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</si>
  <si>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</si>
  <si>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</si>
  <si>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</si>
  <si>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</si>
  <si>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</si>
  <si>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</si>
  <si>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</si>
  <si>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</si>
  <si>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</si>
  <si>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</si>
  <si>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</si>
  <si>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</si>
  <si>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C04946</t>
  </si>
  <si>
    <t>Gummy traders limited</t>
  </si>
  <si>
    <t>C04955</t>
  </si>
  <si>
    <t>Naomi Curtis</t>
  </si>
  <si>
    <t>C04993</t>
  </si>
  <si>
    <t>Wholesale solutions Ltd</t>
  </si>
  <si>
    <t>C05030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</si>
  <si>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</si>
  <si>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</si>
  <si>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</si>
  <si>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</si>
  <si>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</si>
  <si>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</si>
  <si>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</si>
  <si>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</si>
  <si>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</si>
  <si>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</si>
  <si>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</si>
  <si>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</si>
  <si>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</si>
  <si>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</si>
  <si>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</si>
  <si>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</si>
  <si>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</si>
  <si>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</si>
  <si>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</si>
  <si>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</si>
  <si>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</si>
  <si>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</si>
  <si>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</si>
  <si>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</si>
  <si>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</si>
  <si>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</si>
  <si>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</si>
  <si>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</si>
  <si>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</si>
  <si>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</si>
  <si>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</si>
  <si>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</si>
  <si>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Grand totals</t>
  </si>
  <si>
    <t>First name</t>
  </si>
  <si>
    <t>Phone number</t>
  </si>
  <si>
    <t>Terms</t>
  </si>
  <si>
    <t>final total</t>
  </si>
  <si>
    <t>Rep</t>
  </si>
  <si>
    <t>20/10/2026</t>
  </si>
  <si>
    <t>Customer aging report including bank transactions upto 19/10/2026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</si>
  <si>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</si>
  <si>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</si>
  <si>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</si>
  <si>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</si>
  <si>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</si>
  <si>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</si>
  <si>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</si>
  <si>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</si>
  <si>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</si>
  <si>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</si>
  <si>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</si>
  <si>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</si>
  <si>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</si>
  <si>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</si>
  <si>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</si>
  <si>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</si>
  <si>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</si>
  <si>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</si>
  <si>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</si>
  <si>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</si>
  <si>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</si>
  <si>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</si>
  <si>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</si>
  <si>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</si>
  <si>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</si>
  <si>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</si>
  <si>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</si>
  <si>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</si>
  <si>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</si>
  <si>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</si>
  <si>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</si>
  <si>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</si>
  <si>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</si>
  <si>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</si>
  <si>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</si>
  <si>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</si>
  <si>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</si>
  <si>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</si>
  <si>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</si>
  <si>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60 days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</si>
  <si>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</si>
  <si>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</si>
  <si>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</si>
  <si>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</si>
  <si>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</si>
  <si>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</si>
  <si>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</si>
  <si>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</si>
  <si>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</si>
  <si>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</si>
  <si>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</si>
  <si>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</si>
  <si>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</si>
  <si>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</si>
  <si>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</si>
  <si>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</si>
  <si>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</si>
  <si>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</si>
  <si>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</si>
  <si>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</si>
  <si>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</si>
  <si>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</si>
  <si>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</si>
  <si>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</si>
  <si>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</si>
  <si>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Dale</t>
  </si>
  <si>
    <t>+44 7944 022301</t>
  </si>
  <si>
    <t>Jugtar</t>
  </si>
  <si>
    <t>+447428883380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</si>
  <si>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</si>
  <si>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</si>
  <si>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</si>
  <si>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</si>
  <si>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</si>
  <si>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</si>
  <si>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</si>
  <si>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</si>
  <si>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</si>
  <si>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</si>
  <si>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</si>
  <si>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</si>
  <si>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</si>
  <si>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</si>
  <si>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</si>
  <si>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</si>
  <si>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</si>
  <si>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</si>
  <si>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</si>
  <si>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Parmar, Sanjiv</t>
  </si>
  <si>
    <t>Mandeep Kohli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</si>
  <si>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</si>
  <si>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</si>
  <si>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</si>
  <si>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</si>
  <si>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</si>
  <si>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</si>
  <si>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</si>
  <si>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</si>
  <si>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Tyler</t>
  </si>
  <si>
    <t>haider</t>
  </si>
  <si>
    <t>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</si>
</sst>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62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1" fillId="0" borderId="10" xfId="0" applyFont="1" applyBorder="1" applyAlignment="1">
      <alignment horizontal="right" vertical="top" indent="1"/>
    </xf>
    <xf numFmtId="0" fontId="22" fillId="0" borderId="0" xfId="0" applyFont="1"/>
    <xf numFmtId="4" fontId="19" fillId="0" borderId="0" xfId="0" applyNumberFormat="1" applyFont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center" vertical="top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4" fontId="20" fillId="0" borderId="11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right" vertical="top" indent="1"/>
    </xf>
    <xf numFmtId="4" fontId="19" fillId="0" borderId="11" xfId="0" applyNumberFormat="1" applyFont="1" applyFill="1" applyBorder="1" applyAlignment="1">
      <alignment horizontal="right" vertical="top" wrapText="1" indent="1"/>
    </xf>
    <xf numFmtId="4" fontId="19" fillId="0" borderId="11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0" fillId="0" borderId="0" xfId="0" applyFill="1" applyBorder="1"/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35" borderId="0" xfId="0" applyFont="1" applyFill="1" applyBorder="1" applyAlignment="1">
      <alignment horizontal="left" vertical="top" indent="1"/>
    </xf>
    <xf numFmtId="4" fontId="20" fillId="35" borderId="0" xfId="0" applyNumberFormat="1" applyFont="1" applyFill="1" applyBorder="1" applyAlignment="1">
      <alignment horizontal="right" vertical="top" indent="1"/>
    </xf>
    <xf numFmtId="0" fontId="20" fillId="35" borderId="0" xfId="0" applyFont="1" applyFill="1" applyBorder="1" applyAlignment="1">
      <alignment horizontal="right" vertical="top" indent="1"/>
    </xf>
    <xf numFmtId="4" fontId="19" fillId="35" borderId="0" xfId="0" applyNumberFormat="1" applyFont="1" applyFill="1" applyBorder="1" applyAlignment="1">
      <alignment horizontal="right" vertical="top" wrapText="1" indent="1"/>
    </xf>
    <xf numFmtId="4" fontId="19" fillId="35" borderId="0" xfId="0" applyNumberFormat="1" applyFont="1" applyFill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left" vertical="top" indent="1"/>
    </xf>
    <xf numFmtId="4" fontId="20" fillId="0" borderId="0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right" vertical="top" indent="1"/>
    </xf>
    <xf numFmtId="4" fontId="19" fillId="0" borderId="0" xfId="0" applyNumberFormat="1" applyFont="1" applyBorder="1" applyAlignment="1">
      <alignment horizontal="right" vertical="top" wrapText="1" indent="1"/>
    </xf>
    <xf numFmtId="4" fontId="19" fillId="0" borderId="0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left" vertical="top" indent="1"/>
    </xf>
    <xf numFmtId="0" fontId="20" fillId="0" borderId="14" xfId="0" applyFont="1" applyFill="1" applyBorder="1" applyAlignment="1">
      <alignment horizontal="left" vertical="top" indent="1"/>
    </xf>
    <xf numFmtId="4" fontId="20" fillId="0" borderId="14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4" fontId="19" fillId="0" borderId="14" xfId="0" applyNumberFormat="1" applyFont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EF17-9752-4ABB-B698-6DF9AD1B71A0}">
  <sheetPr>
    <pageSetUpPr fitToPage="1"/>
  </sheetPr>
  <dimension ref="A1:O181"/>
  <sheetViews>
    <sheetView showGridLines="0" tabSelected="1" workbookViewId="0">
      <selection activeCell="C20" sqref="C20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9.140625" customWidth="1"/>
    <col min="4" max="4" width="18.42578125" customWidth="1"/>
    <col min="5" max="5" width="17.85546875" customWidth="1"/>
    <col min="6" max="6" width="17" customWidth="1"/>
    <col min="7" max="7" width="19.42578125" customWidth="1"/>
    <col min="8" max="8" width="15.85546875" customWidth="1"/>
    <col min="9" max="9" width="13.5703125" bestFit="1" customWidth="1"/>
    <col min="10" max="10" width="16.42578125" customWidth="1"/>
    <col min="11" max="11" width="16.85546875" customWidth="1"/>
    <col min="12" max="12" width="14.140625" customWidth="1"/>
    <col min="13" max="13" width="15.85546875" customWidth="1"/>
    <col min="14" max="14" width="19.140625" customWidth="1"/>
  </cols>
  <sheetData>
    <row r="1" spans="1:15" ht="22.5" x14ac:dyDescent="0.3">
      <c r="A1" s="8" t="s">
        <v>303</v>
      </c>
    </row>
    <row r="3" spans="1:15" x14ac:dyDescent="0.25">
      <c r="A3" s="10" t="s">
        <v>0</v>
      </c>
      <c r="B3" s="10" t="s">
        <v>1</v>
      </c>
      <c r="C3" s="10" t="s">
        <v>297</v>
      </c>
      <c r="D3" s="10" t="s">
        <v>298</v>
      </c>
      <c r="E3" s="10" t="s">
        <v>299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302</v>
      </c>
      <c r="M3" s="11" t="s">
        <v>300</v>
      </c>
      <c r="N3" s="12" t="s">
        <v>301</v>
      </c>
    </row>
    <row r="4" spans="1:15" x14ac:dyDescent="0.25">
      <c r="A4" s="23" t="s">
        <v>278</v>
      </c>
      <c r="B4" s="23" t="s">
        <v>279</v>
      </c>
      <c r="C4" s="23"/>
      <c r="D4" s="23"/>
      <c r="E4" s="23" t="s">
        <v>309</v>
      </c>
      <c r="F4" s="24">
        <v>3543.73</v>
      </c>
      <c r="G4" s="25">
        <v>284.94</v>
      </c>
      <c r="H4" s="25">
        <v>0</v>
      </c>
      <c r="I4" s="25">
        <v>0</v>
      </c>
      <c r="J4" s="25">
        <v>0</v>
      </c>
      <c r="K4" s="26">
        <v>3828.67</v>
      </c>
      <c r="L4" s="25"/>
      <c r="M4" s="27">
        <v>3828.67</v>
      </c>
      <c r="N4" s="23" t="s">
        <v>393</v>
      </c>
      <c r="O4" s="33"/>
    </row>
    <row r="5" spans="1:15" x14ac:dyDescent="0.25">
      <c r="A5" s="23" t="s">
        <v>276</v>
      </c>
      <c r="B5" s="23" t="s">
        <v>277</v>
      </c>
      <c r="C5" s="23"/>
      <c r="D5" s="23"/>
      <c r="E5" s="23" t="s">
        <v>309</v>
      </c>
      <c r="F5" s="24">
        <v>4842.2700000000004</v>
      </c>
      <c r="G5" s="25">
        <v>679.85</v>
      </c>
      <c r="H5" s="25">
        <v>0</v>
      </c>
      <c r="I5" s="25">
        <v>0</v>
      </c>
      <c r="J5" s="25">
        <v>0</v>
      </c>
      <c r="K5" s="26">
        <v>5522.12</v>
      </c>
      <c r="L5" s="25"/>
      <c r="M5" s="27">
        <v>5522.12</v>
      </c>
      <c r="N5" s="23" t="s">
        <v>393</v>
      </c>
      <c r="O5" s="33"/>
    </row>
    <row r="6" spans="1:15" x14ac:dyDescent="0.25">
      <c r="A6" s="23" t="s">
        <v>286</v>
      </c>
      <c r="B6" s="23" t="s">
        <v>287</v>
      </c>
      <c r="C6" s="23"/>
      <c r="D6" s="23"/>
      <c r="E6" s="23" t="s">
        <v>309</v>
      </c>
      <c r="F6" s="24">
        <v>1958.1</v>
      </c>
      <c r="G6" s="25">
        <v>975</v>
      </c>
      <c r="H6" s="25">
        <v>0</v>
      </c>
      <c r="I6" s="25">
        <v>0</v>
      </c>
      <c r="J6" s="25">
        <v>0</v>
      </c>
      <c r="K6" s="26">
        <v>2933.1</v>
      </c>
      <c r="L6" s="25"/>
      <c r="M6" s="27">
        <v>2933.1</v>
      </c>
      <c r="N6" s="23" t="s">
        <v>393</v>
      </c>
      <c r="O6" s="33"/>
    </row>
    <row r="7" spans="1:15" x14ac:dyDescent="0.25">
      <c r="A7" s="23" t="s">
        <v>284</v>
      </c>
      <c r="B7" s="23" t="s">
        <v>285</v>
      </c>
      <c r="C7" s="23"/>
      <c r="D7" s="23"/>
      <c r="E7" s="23" t="s">
        <v>309</v>
      </c>
      <c r="F7" s="24">
        <v>2243.77</v>
      </c>
      <c r="G7" s="25">
        <v>5.3</v>
      </c>
      <c r="H7" s="25">
        <v>0</v>
      </c>
      <c r="I7" s="25">
        <v>0</v>
      </c>
      <c r="J7" s="25">
        <v>0</v>
      </c>
      <c r="K7" s="26">
        <v>2249.0700000000002</v>
      </c>
      <c r="L7" s="25"/>
      <c r="M7" s="27">
        <v>2249.0700000000002</v>
      </c>
      <c r="N7" s="23" t="s">
        <v>393</v>
      </c>
      <c r="O7" s="33"/>
    </row>
    <row r="8" spans="1:15" x14ac:dyDescent="0.25">
      <c r="A8" s="23" t="s">
        <v>280</v>
      </c>
      <c r="B8" s="23" t="s">
        <v>281</v>
      </c>
      <c r="C8" s="23"/>
      <c r="D8" s="23"/>
      <c r="E8" s="23" t="s">
        <v>309</v>
      </c>
      <c r="F8" s="24">
        <v>2175.1799999999998</v>
      </c>
      <c r="G8" s="25">
        <v>355.7</v>
      </c>
      <c r="H8" s="25">
        <v>0</v>
      </c>
      <c r="I8" s="25">
        <v>0</v>
      </c>
      <c r="J8" s="25">
        <v>0</v>
      </c>
      <c r="K8" s="26">
        <v>2530.88</v>
      </c>
      <c r="L8" s="25"/>
      <c r="M8" s="27">
        <v>2530.88</v>
      </c>
      <c r="N8" s="23" t="s">
        <v>393</v>
      </c>
      <c r="O8" s="33"/>
    </row>
    <row r="9" spans="1:15" x14ac:dyDescent="0.25">
      <c r="A9" s="23" t="s">
        <v>292</v>
      </c>
      <c r="B9" s="23" t="s">
        <v>293</v>
      </c>
      <c r="C9" s="23"/>
      <c r="D9" s="23"/>
      <c r="E9" s="23" t="s">
        <v>309</v>
      </c>
      <c r="F9" s="24">
        <v>2090.5300000000002</v>
      </c>
      <c r="G9" s="25">
        <v>681.56</v>
      </c>
      <c r="H9" s="25">
        <v>0</v>
      </c>
      <c r="I9" s="25">
        <v>0</v>
      </c>
      <c r="J9" s="25">
        <v>0</v>
      </c>
      <c r="K9" s="26">
        <v>2772.09</v>
      </c>
      <c r="L9" s="25"/>
      <c r="M9" s="27">
        <v>2772.09</v>
      </c>
      <c r="N9" s="23" t="s">
        <v>393</v>
      </c>
      <c r="O9" s="33"/>
    </row>
    <row r="10" spans="1:15" x14ac:dyDescent="0.25">
      <c r="A10" s="23" t="s">
        <v>138</v>
      </c>
      <c r="B10" s="23" t="s">
        <v>139</v>
      </c>
      <c r="C10" s="23"/>
      <c r="D10" s="23"/>
      <c r="E10" s="23" t="s">
        <v>309</v>
      </c>
      <c r="F10" s="25">
        <v>0</v>
      </c>
      <c r="G10" s="25">
        <v>0</v>
      </c>
      <c r="H10" s="25">
        <v>0</v>
      </c>
      <c r="I10" s="25">
        <v>0</v>
      </c>
      <c r="J10" s="24">
        <v>3871.43</v>
      </c>
      <c r="K10" s="26">
        <v>3871.43</v>
      </c>
      <c r="L10" s="24"/>
      <c r="M10" s="27">
        <v>3871.43</v>
      </c>
      <c r="N10" s="23" t="s">
        <v>393</v>
      </c>
      <c r="O10" s="33"/>
    </row>
    <row r="11" spans="1:15" x14ac:dyDescent="0.25">
      <c r="A11" s="23" t="s">
        <v>8</v>
      </c>
      <c r="B11" s="23" t="s">
        <v>9</v>
      </c>
      <c r="C11" s="23" t="s">
        <v>313</v>
      </c>
      <c r="D11" s="23" t="s">
        <v>314</v>
      </c>
      <c r="E11" s="23" t="s">
        <v>315</v>
      </c>
      <c r="F11" s="24">
        <v>9388.7999999999993</v>
      </c>
      <c r="G11" s="24">
        <v>4553.76</v>
      </c>
      <c r="H11" s="25">
        <v>0</v>
      </c>
      <c r="I11" s="25">
        <v>0</v>
      </c>
      <c r="J11" s="25">
        <v>0</v>
      </c>
      <c r="K11" s="26">
        <v>13942.56</v>
      </c>
      <c r="L11" s="25"/>
      <c r="M11" s="27">
        <v>13942.56</v>
      </c>
      <c r="N11" s="23" t="s">
        <v>393</v>
      </c>
      <c r="O11" s="33"/>
    </row>
    <row r="12" spans="1:15" x14ac:dyDescent="0.25">
      <c r="A12" s="23" t="s">
        <v>10</v>
      </c>
      <c r="B12" s="23" t="s">
        <v>11</v>
      </c>
      <c r="C12" s="23" t="s">
        <v>319</v>
      </c>
      <c r="D12" s="23" t="s">
        <v>320</v>
      </c>
      <c r="E12" s="23" t="s">
        <v>309</v>
      </c>
      <c r="F12" s="25">
        <v>0</v>
      </c>
      <c r="G12" s="25">
        <v>0</v>
      </c>
      <c r="H12" s="25">
        <v>0</v>
      </c>
      <c r="I12" s="25">
        <v>0</v>
      </c>
      <c r="J12" s="24">
        <v>1333.31</v>
      </c>
      <c r="K12" s="26">
        <v>1333.31</v>
      </c>
      <c r="L12" s="24"/>
      <c r="M12" s="27">
        <v>1333.31</v>
      </c>
      <c r="N12" s="23" t="s">
        <v>393</v>
      </c>
      <c r="O12" s="33"/>
    </row>
    <row r="13" spans="1:15" x14ac:dyDescent="0.25">
      <c r="A13" s="23" t="s">
        <v>191</v>
      </c>
      <c r="B13" s="23" t="s">
        <v>192</v>
      </c>
      <c r="C13" s="23"/>
      <c r="D13" s="23"/>
      <c r="E13" s="23"/>
      <c r="F13" s="24">
        <v>2915.76</v>
      </c>
      <c r="G13" s="25">
        <v>748.08</v>
      </c>
      <c r="H13" s="25">
        <v>0</v>
      </c>
      <c r="I13" s="25">
        <v>0</v>
      </c>
      <c r="J13" s="25">
        <v>0</v>
      </c>
      <c r="K13" s="26">
        <v>3663.84</v>
      </c>
      <c r="L13" s="25"/>
      <c r="M13" s="27">
        <v>3663.84</v>
      </c>
      <c r="N13" s="23" t="s">
        <v>393</v>
      </c>
      <c r="O13" s="33"/>
    </row>
    <row r="14" spans="1:15" x14ac:dyDescent="0.25">
      <c r="A14" s="23" t="s">
        <v>94</v>
      </c>
      <c r="B14" s="23" t="s">
        <v>95</v>
      </c>
      <c r="C14" s="23" t="s">
        <v>331</v>
      </c>
      <c r="D14" s="23" t="s">
        <v>332</v>
      </c>
      <c r="E14" s="23" t="s">
        <v>309</v>
      </c>
      <c r="F14" s="25">
        <v>0</v>
      </c>
      <c r="G14" s="25">
        <v>0</v>
      </c>
      <c r="H14" s="25">
        <v>0</v>
      </c>
      <c r="I14" s="25">
        <v>0</v>
      </c>
      <c r="J14" s="24">
        <v>1116.96</v>
      </c>
      <c r="K14" s="26">
        <v>1116.96</v>
      </c>
      <c r="L14" s="24"/>
      <c r="M14" s="27">
        <v>1116.96</v>
      </c>
      <c r="N14" s="23" t="s">
        <v>393</v>
      </c>
      <c r="O14" s="33"/>
    </row>
    <row r="15" spans="1:15" x14ac:dyDescent="0.25">
      <c r="A15" s="23" t="s">
        <v>22</v>
      </c>
      <c r="B15" s="23" t="s">
        <v>23</v>
      </c>
      <c r="C15" s="23" t="s">
        <v>335</v>
      </c>
      <c r="D15" s="23" t="s">
        <v>336</v>
      </c>
      <c r="E15" s="23" t="s">
        <v>309</v>
      </c>
      <c r="F15" s="24">
        <v>220389.42</v>
      </c>
      <c r="G15" s="24">
        <v>29554.2</v>
      </c>
      <c r="H15" s="25">
        <v>0</v>
      </c>
      <c r="I15" s="25">
        <v>0</v>
      </c>
      <c r="J15" s="25">
        <v>0</v>
      </c>
      <c r="K15" s="26">
        <v>249943.62</v>
      </c>
      <c r="L15" s="25"/>
      <c r="M15" s="27">
        <v>249943.62</v>
      </c>
      <c r="N15" s="23" t="s">
        <v>393</v>
      </c>
      <c r="O15" s="33"/>
    </row>
    <row r="16" spans="1:15" x14ac:dyDescent="0.25">
      <c r="A16" s="23" t="s">
        <v>181</v>
      </c>
      <c r="B16" s="23" t="s">
        <v>182</v>
      </c>
      <c r="C16" s="23" t="s">
        <v>341</v>
      </c>
      <c r="D16" s="23" t="s">
        <v>342</v>
      </c>
      <c r="E16" s="23" t="s">
        <v>343</v>
      </c>
      <c r="F16" s="24">
        <v>-4195.68</v>
      </c>
      <c r="G16" s="24">
        <v>39159.18</v>
      </c>
      <c r="H16" s="24">
        <v>10080</v>
      </c>
      <c r="I16" s="25">
        <v>0</v>
      </c>
      <c r="J16" s="25">
        <v>312</v>
      </c>
      <c r="K16" s="26">
        <v>45355.5</v>
      </c>
      <c r="L16" s="25"/>
      <c r="M16" s="27">
        <v>45355.5</v>
      </c>
      <c r="N16" s="23" t="s">
        <v>399</v>
      </c>
      <c r="O16" s="33"/>
    </row>
    <row r="17" spans="1:15" x14ac:dyDescent="0.25">
      <c r="A17" s="23" t="s">
        <v>249</v>
      </c>
      <c r="B17" s="23" t="s">
        <v>250</v>
      </c>
      <c r="C17" s="23"/>
      <c r="D17" s="23"/>
      <c r="E17" s="23"/>
      <c r="F17" s="25">
        <v>0</v>
      </c>
      <c r="G17" s="24">
        <v>1685.1</v>
      </c>
      <c r="H17" s="25">
        <v>0</v>
      </c>
      <c r="I17" s="25">
        <v>0</v>
      </c>
      <c r="J17" s="25">
        <v>0</v>
      </c>
      <c r="K17" s="26">
        <v>1685.1</v>
      </c>
      <c r="L17" s="25"/>
      <c r="M17" s="27">
        <v>1685.1</v>
      </c>
      <c r="N17" s="23" t="s">
        <v>395</v>
      </c>
      <c r="O17" s="33"/>
    </row>
    <row r="18" spans="1:15" x14ac:dyDescent="0.25">
      <c r="A18" s="23" t="s">
        <v>209</v>
      </c>
      <c r="B18" s="23" t="s">
        <v>210</v>
      </c>
      <c r="C18" s="23" t="s">
        <v>351</v>
      </c>
      <c r="D18" s="23" t="s">
        <v>352</v>
      </c>
      <c r="E18" s="23" t="s">
        <v>309</v>
      </c>
      <c r="F18" s="25">
        <v>0</v>
      </c>
      <c r="G18" s="25">
        <v>0</v>
      </c>
      <c r="H18" s="24">
        <v>20000</v>
      </c>
      <c r="I18" s="25">
        <v>0</v>
      </c>
      <c r="J18" s="25">
        <v>0</v>
      </c>
      <c r="K18" s="26">
        <v>20000</v>
      </c>
      <c r="L18" s="25"/>
      <c r="M18" s="27">
        <v>20000</v>
      </c>
      <c r="N18" s="23" t="s">
        <v>395</v>
      </c>
      <c r="O18" s="33"/>
    </row>
    <row r="19" spans="1:15" x14ac:dyDescent="0.25">
      <c r="A19" s="23" t="s">
        <v>72</v>
      </c>
      <c r="B19" s="23" t="s">
        <v>73</v>
      </c>
      <c r="C19" s="23" t="s">
        <v>353</v>
      </c>
      <c r="D19" s="23" t="s">
        <v>354</v>
      </c>
      <c r="E19" s="23" t="s">
        <v>309</v>
      </c>
      <c r="F19" s="25">
        <v>0</v>
      </c>
      <c r="G19" s="25">
        <v>0</v>
      </c>
      <c r="H19" s="25">
        <v>0</v>
      </c>
      <c r="I19" s="25">
        <v>0</v>
      </c>
      <c r="J19" s="24">
        <v>13182.26</v>
      </c>
      <c r="K19" s="26">
        <v>13182.26</v>
      </c>
      <c r="L19" s="24"/>
      <c r="M19" s="27">
        <v>13182.26</v>
      </c>
      <c r="N19" s="23" t="s">
        <v>393</v>
      </c>
      <c r="O19" s="33"/>
    </row>
    <row r="20" spans="1:15" x14ac:dyDescent="0.25">
      <c r="A20" s="23" t="s">
        <v>48</v>
      </c>
      <c r="B20" s="23" t="s">
        <v>49</v>
      </c>
      <c r="C20" s="23"/>
      <c r="D20" s="23"/>
      <c r="E20" s="23"/>
      <c r="F20" s="24">
        <v>5329.63</v>
      </c>
      <c r="G20" s="25">
        <v>701.4</v>
      </c>
      <c r="H20" s="25">
        <v>0</v>
      </c>
      <c r="I20" s="25">
        <v>0</v>
      </c>
      <c r="J20" s="25">
        <v>-12</v>
      </c>
      <c r="K20" s="26">
        <v>6019.03</v>
      </c>
      <c r="L20" s="25"/>
      <c r="M20" s="27">
        <v>6019.03</v>
      </c>
      <c r="N20" s="23" t="s">
        <v>400</v>
      </c>
      <c r="O20" s="33"/>
    </row>
    <row r="21" spans="1:15" x14ac:dyDescent="0.25">
      <c r="A21" s="23" t="s">
        <v>52</v>
      </c>
      <c r="B21" s="23" t="s">
        <v>53</v>
      </c>
      <c r="C21" s="23" t="s">
        <v>355</v>
      </c>
      <c r="D21" s="23" t="s">
        <v>356</v>
      </c>
      <c r="E21" s="23" t="s">
        <v>309</v>
      </c>
      <c r="F21" s="25">
        <v>0</v>
      </c>
      <c r="G21" s="25">
        <v>0</v>
      </c>
      <c r="H21" s="25">
        <v>0</v>
      </c>
      <c r="I21" s="25">
        <v>0</v>
      </c>
      <c r="J21" s="24">
        <v>6087.51</v>
      </c>
      <c r="K21" s="26">
        <v>6087.51</v>
      </c>
      <c r="L21" s="24"/>
      <c r="M21" s="27">
        <v>6087.51</v>
      </c>
      <c r="N21" s="23" t="s">
        <v>393</v>
      </c>
      <c r="O21" s="33"/>
    </row>
    <row r="22" spans="1:15" x14ac:dyDescent="0.25">
      <c r="A22" s="35" t="s">
        <v>173</v>
      </c>
      <c r="B22" s="35" t="s">
        <v>174</v>
      </c>
      <c r="C22" s="35" t="s">
        <v>357</v>
      </c>
      <c r="D22" s="35" t="s">
        <v>358</v>
      </c>
      <c r="E22" s="35" t="s">
        <v>309</v>
      </c>
      <c r="F22" s="36">
        <v>46043.66</v>
      </c>
      <c r="G22" s="36">
        <v>24467.919999999998</v>
      </c>
      <c r="H22" s="37">
        <v>0</v>
      </c>
      <c r="I22" s="37">
        <v>0</v>
      </c>
      <c r="J22" s="37">
        <v>0</v>
      </c>
      <c r="K22" s="38">
        <v>70511.58</v>
      </c>
      <c r="L22" s="37"/>
      <c r="M22" s="39">
        <v>70511.58</v>
      </c>
      <c r="N22" s="35" t="s">
        <v>393</v>
      </c>
      <c r="O22" s="33"/>
    </row>
    <row r="23" spans="1:15" x14ac:dyDescent="0.25">
      <c r="A23" s="23" t="s">
        <v>233</v>
      </c>
      <c r="B23" s="23" t="s">
        <v>234</v>
      </c>
      <c r="C23" s="23"/>
      <c r="D23" s="23"/>
      <c r="E23" s="23"/>
      <c r="F23" s="24">
        <v>16050.95</v>
      </c>
      <c r="G23" s="24">
        <v>2020.56</v>
      </c>
      <c r="H23" s="25">
        <v>0</v>
      </c>
      <c r="I23" s="25">
        <v>0</v>
      </c>
      <c r="J23" s="25">
        <v>0</v>
      </c>
      <c r="K23" s="26">
        <v>18071.509999999998</v>
      </c>
      <c r="L23" s="25"/>
      <c r="M23" s="27">
        <v>18071.509999999998</v>
      </c>
      <c r="N23" s="23" t="s">
        <v>397</v>
      </c>
      <c r="O23" s="33"/>
    </row>
    <row r="24" spans="1:15" x14ac:dyDescent="0.25">
      <c r="A24" s="23" t="s">
        <v>162</v>
      </c>
      <c r="B24" s="23" t="s">
        <v>163</v>
      </c>
      <c r="C24" s="23" t="s">
        <v>359</v>
      </c>
      <c r="D24" s="23" t="s">
        <v>360</v>
      </c>
      <c r="E24" s="23" t="s">
        <v>309</v>
      </c>
      <c r="F24" s="24">
        <v>57100.09</v>
      </c>
      <c r="G24" s="24">
        <v>10048.92</v>
      </c>
      <c r="H24" s="25">
        <v>0</v>
      </c>
      <c r="I24" s="25">
        <v>0</v>
      </c>
      <c r="J24" s="25">
        <v>0</v>
      </c>
      <c r="K24" s="26">
        <v>67149.009999999995</v>
      </c>
      <c r="L24" s="25"/>
      <c r="M24" s="27">
        <v>67149.009999999995</v>
      </c>
      <c r="N24" s="23" t="s">
        <v>393</v>
      </c>
      <c r="O24" s="33"/>
    </row>
    <row r="25" spans="1:15" x14ac:dyDescent="0.25">
      <c r="A25" s="23" t="s">
        <v>114</v>
      </c>
      <c r="B25" s="23" t="s">
        <v>115</v>
      </c>
      <c r="C25" s="23" t="s">
        <v>361</v>
      </c>
      <c r="D25" s="23" t="s">
        <v>362</v>
      </c>
      <c r="E25" s="23" t="s">
        <v>318</v>
      </c>
      <c r="F25" s="24">
        <v>64152.21</v>
      </c>
      <c r="G25" s="24">
        <v>3717.84</v>
      </c>
      <c r="H25" s="25">
        <v>0</v>
      </c>
      <c r="I25" s="25">
        <v>0</v>
      </c>
      <c r="J25" s="25">
        <v>-97.51</v>
      </c>
      <c r="K25" s="26">
        <v>67772.539999999994</v>
      </c>
      <c r="L25" s="25"/>
      <c r="M25" s="27">
        <v>67772.539999999994</v>
      </c>
      <c r="N25" s="23" t="s">
        <v>393</v>
      </c>
      <c r="O25" s="33"/>
    </row>
    <row r="26" spans="1:15" x14ac:dyDescent="0.25">
      <c r="A26" s="23" t="s">
        <v>205</v>
      </c>
      <c r="B26" s="23" t="s">
        <v>206</v>
      </c>
      <c r="C26" s="23" t="s">
        <v>363</v>
      </c>
      <c r="D26" s="23" t="s">
        <v>364</v>
      </c>
      <c r="E26" s="23" t="s">
        <v>309</v>
      </c>
      <c r="F26" s="24">
        <v>13103.94</v>
      </c>
      <c r="G26" s="24">
        <v>6565.2</v>
      </c>
      <c r="H26" s="25">
        <v>0</v>
      </c>
      <c r="I26" s="25">
        <v>0</v>
      </c>
      <c r="J26" s="25">
        <v>0</v>
      </c>
      <c r="K26" s="26">
        <v>19669.14</v>
      </c>
      <c r="L26" s="25"/>
      <c r="M26" s="27">
        <v>19669.14</v>
      </c>
      <c r="N26" s="23" t="s">
        <v>397</v>
      </c>
      <c r="O26" s="33"/>
    </row>
    <row r="27" spans="1:15" x14ac:dyDescent="0.25">
      <c r="A27" s="23" t="s">
        <v>80</v>
      </c>
      <c r="B27" s="23" t="s">
        <v>81</v>
      </c>
      <c r="C27" s="23" t="s">
        <v>369</v>
      </c>
      <c r="D27" s="23" t="s">
        <v>370</v>
      </c>
      <c r="E27" s="23" t="s">
        <v>309</v>
      </c>
      <c r="F27" s="25">
        <v>0</v>
      </c>
      <c r="G27" s="25">
        <v>0</v>
      </c>
      <c r="H27" s="25">
        <v>0</v>
      </c>
      <c r="I27" s="25">
        <v>0</v>
      </c>
      <c r="J27" s="24">
        <v>2197.91</v>
      </c>
      <c r="K27" s="26">
        <v>2197.91</v>
      </c>
      <c r="L27" s="24"/>
      <c r="M27" s="27">
        <v>2197.91</v>
      </c>
      <c r="N27" s="23" t="s">
        <v>393</v>
      </c>
      <c r="O27" s="33"/>
    </row>
    <row r="28" spans="1:15" x14ac:dyDescent="0.25">
      <c r="A28" s="23" t="s">
        <v>169</v>
      </c>
      <c r="B28" s="23" t="s">
        <v>170</v>
      </c>
      <c r="C28" s="23" t="s">
        <v>367</v>
      </c>
      <c r="D28" s="23" t="s">
        <v>374</v>
      </c>
      <c r="E28" s="23" t="s">
        <v>309</v>
      </c>
      <c r="F28" s="24">
        <v>130994.76</v>
      </c>
      <c r="G28" s="24">
        <v>2351.04</v>
      </c>
      <c r="H28" s="25">
        <v>0</v>
      </c>
      <c r="I28" s="25">
        <v>0</v>
      </c>
      <c r="J28" s="25">
        <v>0</v>
      </c>
      <c r="K28" s="26">
        <v>133345.79999999999</v>
      </c>
      <c r="L28" s="25"/>
      <c r="M28" s="27">
        <v>133345.79999999999</v>
      </c>
      <c r="N28" s="23" t="s">
        <v>393</v>
      </c>
      <c r="O28" s="33"/>
    </row>
    <row r="29" spans="1:15" x14ac:dyDescent="0.25">
      <c r="A29" s="23" t="s">
        <v>116</v>
      </c>
      <c r="B29" s="23" t="s">
        <v>117</v>
      </c>
      <c r="C29" s="23" t="s">
        <v>377</v>
      </c>
      <c r="D29" s="23" t="s">
        <v>378</v>
      </c>
      <c r="E29" s="23" t="s">
        <v>309</v>
      </c>
      <c r="F29" s="24">
        <v>4653.66</v>
      </c>
      <c r="G29" s="24">
        <v>3604.08</v>
      </c>
      <c r="H29" s="25">
        <v>0</v>
      </c>
      <c r="I29" s="25">
        <v>0</v>
      </c>
      <c r="J29" s="25">
        <v>0</v>
      </c>
      <c r="K29" s="26">
        <v>8257.74</v>
      </c>
      <c r="L29" s="25"/>
      <c r="M29" s="27">
        <v>8257.74</v>
      </c>
      <c r="N29" s="23" t="s">
        <v>393</v>
      </c>
      <c r="O29" s="33"/>
    </row>
    <row r="30" spans="1:15" x14ac:dyDescent="0.25">
      <c r="A30" s="23" t="s">
        <v>243</v>
      </c>
      <c r="B30" s="23" t="s">
        <v>244</v>
      </c>
      <c r="C30" s="23"/>
      <c r="D30" s="23"/>
      <c r="E30" s="23"/>
      <c r="F30" s="24">
        <v>8389.52</v>
      </c>
      <c r="G30" s="24">
        <v>7816.73</v>
      </c>
      <c r="H30" s="25">
        <v>-84.6</v>
      </c>
      <c r="I30" s="25">
        <v>0</v>
      </c>
      <c r="J30" s="25">
        <v>0</v>
      </c>
      <c r="K30" s="26">
        <v>16121.65</v>
      </c>
      <c r="L30" s="25"/>
      <c r="M30" s="27">
        <v>16121.65</v>
      </c>
      <c r="N30" s="23" t="s">
        <v>393</v>
      </c>
      <c r="O30" s="33"/>
    </row>
    <row r="31" spans="1:15" x14ac:dyDescent="0.25">
      <c r="A31" s="23" t="s">
        <v>166</v>
      </c>
      <c r="B31" s="23" t="s">
        <v>167</v>
      </c>
      <c r="C31" s="23" t="s">
        <v>383</v>
      </c>
      <c r="D31" s="23" t="s">
        <v>384</v>
      </c>
      <c r="E31" s="23" t="s">
        <v>309</v>
      </c>
      <c r="F31" s="24">
        <v>74310.48</v>
      </c>
      <c r="G31" s="24">
        <v>28860</v>
      </c>
      <c r="H31" s="25">
        <v>0</v>
      </c>
      <c r="I31" s="25">
        <v>0</v>
      </c>
      <c r="J31" s="25">
        <v>0</v>
      </c>
      <c r="K31" s="26">
        <v>103170.48</v>
      </c>
      <c r="L31" s="25"/>
      <c r="M31" s="27">
        <v>103170.48</v>
      </c>
      <c r="N31" s="23" t="s">
        <v>393</v>
      </c>
      <c r="O31" s="33"/>
    </row>
    <row r="32" spans="1:15" x14ac:dyDescent="0.25">
      <c r="A32" s="23" t="s">
        <v>251</v>
      </c>
      <c r="B32" s="23" t="s">
        <v>252</v>
      </c>
      <c r="C32" s="23" t="s">
        <v>388</v>
      </c>
      <c r="D32" s="23" t="s">
        <v>389</v>
      </c>
      <c r="E32" s="23" t="s">
        <v>306</v>
      </c>
      <c r="F32" s="25">
        <v>0</v>
      </c>
      <c r="G32" s="25">
        <v>0</v>
      </c>
      <c r="H32" s="25">
        <v>0</v>
      </c>
      <c r="I32" s="25">
        <v>0</v>
      </c>
      <c r="J32" s="24">
        <v>36203.199999999997</v>
      </c>
      <c r="K32" s="26">
        <v>36203.199999999997</v>
      </c>
      <c r="L32" s="24"/>
      <c r="M32" s="27">
        <v>36203.199999999997</v>
      </c>
      <c r="N32" s="23" t="s">
        <v>395</v>
      </c>
      <c r="O32" s="33"/>
    </row>
    <row r="33" spans="1:15" x14ac:dyDescent="0.25">
      <c r="A33" s="40"/>
      <c r="B33" s="40"/>
      <c r="C33" s="40"/>
      <c r="D33" s="40"/>
      <c r="E33" s="40"/>
      <c r="F33" s="41"/>
      <c r="G33" s="42"/>
      <c r="H33" s="42"/>
      <c r="I33" s="42"/>
      <c r="J33" s="42"/>
      <c r="K33" s="43"/>
      <c r="L33" s="42"/>
      <c r="M33" s="44"/>
      <c r="N33" s="40"/>
      <c r="O33" s="33"/>
    </row>
    <row r="34" spans="1:15" x14ac:dyDescent="0.25">
      <c r="A34" s="40"/>
      <c r="B34" s="40"/>
      <c r="C34" s="40"/>
      <c r="D34" s="40"/>
      <c r="E34" s="40"/>
      <c r="F34" s="41"/>
      <c r="G34" s="42"/>
      <c r="H34" s="42"/>
      <c r="I34" s="42"/>
      <c r="J34" s="42"/>
      <c r="K34" s="43"/>
      <c r="L34" s="42"/>
      <c r="M34" s="44"/>
      <c r="N34" s="40"/>
      <c r="O34" s="33"/>
    </row>
    <row r="35" spans="1:15" x14ac:dyDescent="0.25">
      <c r="A35" s="28" t="s">
        <v>223</v>
      </c>
      <c r="B35" s="28" t="s">
        <v>224</v>
      </c>
      <c r="C35" s="28" t="s">
        <v>304</v>
      </c>
      <c r="D35" s="28" t="s">
        <v>305</v>
      </c>
      <c r="E35" s="28" t="s">
        <v>306</v>
      </c>
      <c r="F35" s="29">
        <v>1353.48</v>
      </c>
      <c r="G35" s="30">
        <v>0</v>
      </c>
      <c r="H35" s="30">
        <v>0</v>
      </c>
      <c r="I35" s="30">
        <v>0</v>
      </c>
      <c r="J35" s="30">
        <v>0</v>
      </c>
      <c r="K35" s="31">
        <v>1353.48</v>
      </c>
      <c r="L35" s="30"/>
      <c r="M35" s="32">
        <f>K35-L35</f>
        <v>1353.48</v>
      </c>
      <c r="N35" s="28" t="s">
        <v>392</v>
      </c>
      <c r="O35" s="33"/>
    </row>
    <row r="36" spans="1:15" x14ac:dyDescent="0.25">
      <c r="A36" s="1" t="s">
        <v>221</v>
      </c>
      <c r="B36" s="34" t="s">
        <v>222</v>
      </c>
      <c r="C36" s="1" t="s">
        <v>307</v>
      </c>
      <c r="D36" s="1" t="s">
        <v>305</v>
      </c>
      <c r="E36" s="1" t="s">
        <v>306</v>
      </c>
      <c r="F36" s="4">
        <v>5557.71</v>
      </c>
      <c r="G36" s="2">
        <v>0</v>
      </c>
      <c r="H36" s="2">
        <v>0</v>
      </c>
      <c r="I36" s="2">
        <v>0</v>
      </c>
      <c r="J36" s="2">
        <v>0</v>
      </c>
      <c r="K36" s="3">
        <v>5557.71</v>
      </c>
      <c r="L36" s="2"/>
      <c r="M36" s="9">
        <f t="shared" ref="M36:M95" si="0">K36-L36</f>
        <v>5557.71</v>
      </c>
      <c r="N36" s="1" t="s">
        <v>392</v>
      </c>
    </row>
    <row r="37" spans="1:15" x14ac:dyDescent="0.25">
      <c r="A37" s="1" t="s">
        <v>219</v>
      </c>
      <c r="B37" s="34" t="s">
        <v>220</v>
      </c>
      <c r="C37" s="1" t="s">
        <v>308</v>
      </c>
      <c r="D37" s="1" t="s">
        <v>305</v>
      </c>
      <c r="E37" s="1" t="s">
        <v>306</v>
      </c>
      <c r="F37" s="4">
        <v>1358.42</v>
      </c>
      <c r="G37" s="2">
        <v>0</v>
      </c>
      <c r="H37" s="2">
        <v>0</v>
      </c>
      <c r="I37" s="2">
        <v>0</v>
      </c>
      <c r="J37" s="2">
        <v>0</v>
      </c>
      <c r="K37" s="3">
        <v>1358.42</v>
      </c>
      <c r="L37" s="2"/>
      <c r="M37" s="9">
        <f t="shared" si="0"/>
        <v>1358.42</v>
      </c>
      <c r="N37" s="1" t="s">
        <v>392</v>
      </c>
    </row>
    <row r="38" spans="1:15" x14ac:dyDescent="0.25">
      <c r="A38" s="1" t="s">
        <v>225</v>
      </c>
      <c r="B38" s="34" t="s">
        <v>226</v>
      </c>
      <c r="C38" s="1"/>
      <c r="D38" s="1"/>
      <c r="E38" s="1"/>
      <c r="F38" s="4">
        <v>1541.77</v>
      </c>
      <c r="G38" s="2">
        <v>-12.72</v>
      </c>
      <c r="H38" s="2">
        <v>0</v>
      </c>
      <c r="I38" s="2">
        <v>0</v>
      </c>
      <c r="J38" s="2">
        <v>0</v>
      </c>
      <c r="K38" s="3">
        <v>1529.05</v>
      </c>
      <c r="L38" s="2"/>
      <c r="M38" s="9">
        <f t="shared" si="0"/>
        <v>1529.05</v>
      </c>
      <c r="N38" s="1" t="s">
        <v>392</v>
      </c>
    </row>
    <row r="39" spans="1:15" x14ac:dyDescent="0.25">
      <c r="A39" s="1" t="s">
        <v>203</v>
      </c>
      <c r="B39" s="34" t="s">
        <v>204</v>
      </c>
      <c r="C39" s="1"/>
      <c r="D39" s="1"/>
      <c r="E39" s="1" t="s">
        <v>309</v>
      </c>
      <c r="F39" s="4">
        <v>7295.52</v>
      </c>
      <c r="G39" s="2">
        <v>0</v>
      </c>
      <c r="H39" s="2">
        <v>0</v>
      </c>
      <c r="I39" s="2">
        <v>0</v>
      </c>
      <c r="J39" s="2">
        <v>-820.85</v>
      </c>
      <c r="K39" s="3">
        <v>6474.67</v>
      </c>
      <c r="L39" s="2"/>
      <c r="M39" s="9">
        <f t="shared" si="0"/>
        <v>6474.67</v>
      </c>
      <c r="N39" s="1" t="s">
        <v>393</v>
      </c>
    </row>
    <row r="40" spans="1:15" x14ac:dyDescent="0.25">
      <c r="A40" s="1" t="s">
        <v>270</v>
      </c>
      <c r="B40" s="34" t="s">
        <v>271</v>
      </c>
      <c r="C40" s="1"/>
      <c r="D40" s="1"/>
      <c r="E40" s="1" t="s">
        <v>309</v>
      </c>
      <c r="F40" s="4">
        <v>8079.11</v>
      </c>
      <c r="G40" s="2">
        <v>0</v>
      </c>
      <c r="H40" s="2">
        <v>0</v>
      </c>
      <c r="I40" s="2">
        <v>0</v>
      </c>
      <c r="J40" s="2">
        <v>0</v>
      </c>
      <c r="K40" s="3">
        <v>8079.11</v>
      </c>
      <c r="L40" s="2"/>
      <c r="M40" s="9">
        <f t="shared" si="0"/>
        <v>8079.11</v>
      </c>
      <c r="N40" s="1" t="s">
        <v>393</v>
      </c>
    </row>
    <row r="41" spans="1:15" x14ac:dyDescent="0.25">
      <c r="A41" s="1" t="s">
        <v>288</v>
      </c>
      <c r="B41" s="34" t="s">
        <v>289</v>
      </c>
      <c r="C41" s="1"/>
      <c r="D41" s="1"/>
      <c r="E41" s="1" t="s">
        <v>309</v>
      </c>
      <c r="F41" s="4">
        <v>3033.06</v>
      </c>
      <c r="G41" s="2">
        <v>0</v>
      </c>
      <c r="H41" s="2">
        <v>0</v>
      </c>
      <c r="I41" s="2">
        <v>0</v>
      </c>
      <c r="J41" s="2">
        <v>0</v>
      </c>
      <c r="K41" s="3">
        <v>3033.06</v>
      </c>
      <c r="L41" s="2"/>
      <c r="M41" s="9">
        <f t="shared" si="0"/>
        <v>3033.06</v>
      </c>
      <c r="N41" s="1" t="s">
        <v>393</v>
      </c>
    </row>
    <row r="42" spans="1:15" x14ac:dyDescent="0.25">
      <c r="A42" s="1" t="s">
        <v>272</v>
      </c>
      <c r="B42" s="34" t="s">
        <v>273</v>
      </c>
      <c r="C42" s="1"/>
      <c r="D42" s="1"/>
      <c r="E42" s="1" t="s">
        <v>309</v>
      </c>
      <c r="F42" s="4">
        <v>16839.099999999999</v>
      </c>
      <c r="G42" s="2">
        <v>0</v>
      </c>
      <c r="H42" s="2">
        <v>0</v>
      </c>
      <c r="I42" s="2">
        <v>0</v>
      </c>
      <c r="J42" s="2">
        <v>0</v>
      </c>
      <c r="K42" s="3">
        <v>16839.099999999999</v>
      </c>
      <c r="L42" s="2"/>
      <c r="M42" s="9">
        <f t="shared" si="0"/>
        <v>16839.099999999999</v>
      </c>
      <c r="N42" s="1" t="s">
        <v>393</v>
      </c>
    </row>
    <row r="43" spans="1:15" x14ac:dyDescent="0.25">
      <c r="A43" s="13" t="s">
        <v>278</v>
      </c>
      <c r="B43" s="23" t="s">
        <v>279</v>
      </c>
      <c r="C43" s="13"/>
      <c r="D43" s="13"/>
      <c r="E43" s="13" t="s">
        <v>309</v>
      </c>
      <c r="F43" s="14">
        <v>3543.73</v>
      </c>
      <c r="G43" s="15">
        <v>284.94</v>
      </c>
      <c r="H43" s="15">
        <v>0</v>
      </c>
      <c r="I43" s="15">
        <v>0</v>
      </c>
      <c r="J43" s="15">
        <v>0</v>
      </c>
      <c r="K43" s="16">
        <v>3828.67</v>
      </c>
      <c r="L43" s="15"/>
      <c r="M43" s="17">
        <f t="shared" si="0"/>
        <v>3828.67</v>
      </c>
      <c r="N43" s="13" t="s">
        <v>393</v>
      </c>
    </row>
    <row r="44" spans="1:15" x14ac:dyDescent="0.25">
      <c r="A44" s="13" t="s">
        <v>276</v>
      </c>
      <c r="B44" s="23" t="s">
        <v>277</v>
      </c>
      <c r="C44" s="13"/>
      <c r="D44" s="13"/>
      <c r="E44" s="13" t="s">
        <v>309</v>
      </c>
      <c r="F44" s="14">
        <v>4842.2700000000004</v>
      </c>
      <c r="G44" s="15">
        <v>679.85</v>
      </c>
      <c r="H44" s="15">
        <v>0</v>
      </c>
      <c r="I44" s="15">
        <v>0</v>
      </c>
      <c r="J44" s="15">
        <v>0</v>
      </c>
      <c r="K44" s="16">
        <v>5522.12</v>
      </c>
      <c r="L44" s="15"/>
      <c r="M44" s="17">
        <f t="shared" si="0"/>
        <v>5522.12</v>
      </c>
      <c r="N44" s="13" t="s">
        <v>393</v>
      </c>
    </row>
    <row r="45" spans="1:15" x14ac:dyDescent="0.25">
      <c r="A45" s="13" t="s">
        <v>286</v>
      </c>
      <c r="B45" s="23" t="s">
        <v>287</v>
      </c>
      <c r="C45" s="13"/>
      <c r="D45" s="13"/>
      <c r="E45" s="13" t="s">
        <v>309</v>
      </c>
      <c r="F45" s="14">
        <v>1958.1</v>
      </c>
      <c r="G45" s="15">
        <v>975</v>
      </c>
      <c r="H45" s="15">
        <v>0</v>
      </c>
      <c r="I45" s="15">
        <v>0</v>
      </c>
      <c r="J45" s="15">
        <v>0</v>
      </c>
      <c r="K45" s="16">
        <v>2933.1</v>
      </c>
      <c r="L45" s="15"/>
      <c r="M45" s="17">
        <f t="shared" si="0"/>
        <v>2933.1</v>
      </c>
      <c r="N45" s="13" t="s">
        <v>393</v>
      </c>
    </row>
    <row r="46" spans="1:15" x14ac:dyDescent="0.25">
      <c r="A46" s="1" t="s">
        <v>282</v>
      </c>
      <c r="B46" s="34" t="s">
        <v>283</v>
      </c>
      <c r="C46" s="1"/>
      <c r="D46" s="1"/>
      <c r="E46" s="1" t="s">
        <v>309</v>
      </c>
      <c r="F46" s="2">
        <v>653.78</v>
      </c>
      <c r="G46" s="2">
        <v>0</v>
      </c>
      <c r="H46" s="2">
        <v>0</v>
      </c>
      <c r="I46" s="2">
        <v>0</v>
      </c>
      <c r="J46" s="2">
        <v>0</v>
      </c>
      <c r="K46" s="3">
        <v>653.78</v>
      </c>
      <c r="L46" s="2"/>
      <c r="M46" s="9">
        <f t="shared" si="0"/>
        <v>653.78</v>
      </c>
      <c r="N46" s="1" t="s">
        <v>393</v>
      </c>
    </row>
    <row r="47" spans="1:15" x14ac:dyDescent="0.25">
      <c r="A47" s="13" t="s">
        <v>284</v>
      </c>
      <c r="B47" s="23" t="s">
        <v>285</v>
      </c>
      <c r="C47" s="13"/>
      <c r="D47" s="13"/>
      <c r="E47" s="13" t="s">
        <v>309</v>
      </c>
      <c r="F47" s="14">
        <v>2243.77</v>
      </c>
      <c r="G47" s="15">
        <v>5.3</v>
      </c>
      <c r="H47" s="15">
        <v>0</v>
      </c>
      <c r="I47" s="15">
        <v>0</v>
      </c>
      <c r="J47" s="15">
        <v>0</v>
      </c>
      <c r="K47" s="16">
        <v>2249.0700000000002</v>
      </c>
      <c r="L47" s="15"/>
      <c r="M47" s="17">
        <f t="shared" si="0"/>
        <v>2249.0700000000002</v>
      </c>
      <c r="N47" s="13" t="s">
        <v>393</v>
      </c>
    </row>
    <row r="48" spans="1:15" x14ac:dyDescent="0.25">
      <c r="A48" s="13" t="s">
        <v>280</v>
      </c>
      <c r="B48" s="23" t="s">
        <v>281</v>
      </c>
      <c r="C48" s="13"/>
      <c r="D48" s="13"/>
      <c r="E48" s="13" t="s">
        <v>309</v>
      </c>
      <c r="F48" s="14">
        <v>2175.1799999999998</v>
      </c>
      <c r="G48" s="15">
        <v>355.7</v>
      </c>
      <c r="H48" s="15">
        <v>0</v>
      </c>
      <c r="I48" s="15">
        <v>0</v>
      </c>
      <c r="J48" s="15">
        <v>0</v>
      </c>
      <c r="K48" s="16">
        <v>2530.88</v>
      </c>
      <c r="L48" s="15"/>
      <c r="M48" s="17">
        <f t="shared" si="0"/>
        <v>2530.88</v>
      </c>
      <c r="N48" s="13" t="s">
        <v>393</v>
      </c>
    </row>
    <row r="49" spans="1:14" x14ac:dyDescent="0.25">
      <c r="A49" s="1" t="s">
        <v>290</v>
      </c>
      <c r="B49" s="34" t="s">
        <v>291</v>
      </c>
      <c r="C49" s="1"/>
      <c r="D49" s="1"/>
      <c r="E49" s="1" t="s">
        <v>309</v>
      </c>
      <c r="F49" s="4">
        <v>1774.86</v>
      </c>
      <c r="G49" s="2">
        <v>0</v>
      </c>
      <c r="H49" s="2">
        <v>0</v>
      </c>
      <c r="I49" s="2">
        <v>0</v>
      </c>
      <c r="J49" s="2">
        <v>0</v>
      </c>
      <c r="K49" s="3">
        <v>1774.86</v>
      </c>
      <c r="L49" s="2"/>
      <c r="M49" s="9">
        <f t="shared" si="0"/>
        <v>1774.86</v>
      </c>
      <c r="N49" s="1" t="s">
        <v>393</v>
      </c>
    </row>
    <row r="50" spans="1:14" x14ac:dyDescent="0.25">
      <c r="A50" s="1" t="s">
        <v>274</v>
      </c>
      <c r="B50" s="34" t="s">
        <v>275</v>
      </c>
      <c r="C50" s="1"/>
      <c r="D50" s="1"/>
      <c r="E50" s="1" t="s">
        <v>309</v>
      </c>
      <c r="F50" s="4">
        <v>8224.59</v>
      </c>
      <c r="G50" s="2">
        <v>0</v>
      </c>
      <c r="H50" s="2">
        <v>0</v>
      </c>
      <c r="I50" s="2">
        <v>0</v>
      </c>
      <c r="J50" s="2">
        <v>0</v>
      </c>
      <c r="K50" s="3">
        <v>8224.59</v>
      </c>
      <c r="L50" s="2"/>
      <c r="M50" s="9">
        <f t="shared" si="0"/>
        <v>8224.59</v>
      </c>
      <c r="N50" s="1" t="s">
        <v>393</v>
      </c>
    </row>
    <row r="51" spans="1:14" x14ac:dyDescent="0.25">
      <c r="A51" s="1" t="s">
        <v>268</v>
      </c>
      <c r="B51" s="34" t="s">
        <v>269</v>
      </c>
      <c r="C51" s="1"/>
      <c r="D51" s="1"/>
      <c r="E51" s="1" t="s">
        <v>309</v>
      </c>
      <c r="F51" s="4">
        <v>5202.63</v>
      </c>
      <c r="G51" s="2">
        <v>0</v>
      </c>
      <c r="H51" s="2">
        <v>0</v>
      </c>
      <c r="I51" s="2">
        <v>0</v>
      </c>
      <c r="J51" s="2">
        <v>0</v>
      </c>
      <c r="K51" s="3">
        <v>5202.63</v>
      </c>
      <c r="L51" s="2"/>
      <c r="M51" s="9">
        <f t="shared" si="0"/>
        <v>5202.63</v>
      </c>
      <c r="N51" s="1" t="s">
        <v>393</v>
      </c>
    </row>
    <row r="52" spans="1:14" x14ac:dyDescent="0.25">
      <c r="A52" s="1" t="s">
        <v>266</v>
      </c>
      <c r="B52" s="34" t="s">
        <v>267</v>
      </c>
      <c r="C52" s="1"/>
      <c r="D52" s="1"/>
      <c r="E52" s="1" t="s">
        <v>309</v>
      </c>
      <c r="F52" s="4">
        <v>6173.77</v>
      </c>
      <c r="G52" s="2">
        <v>0</v>
      </c>
      <c r="H52" s="2">
        <v>0</v>
      </c>
      <c r="I52" s="2">
        <v>0</v>
      </c>
      <c r="J52" s="2">
        <v>0</v>
      </c>
      <c r="K52" s="3">
        <v>6173.77</v>
      </c>
      <c r="L52" s="2"/>
      <c r="M52" s="9">
        <f t="shared" si="0"/>
        <v>6173.77</v>
      </c>
      <c r="N52" s="1" t="s">
        <v>393</v>
      </c>
    </row>
    <row r="53" spans="1:14" x14ac:dyDescent="0.25">
      <c r="A53" s="1" t="s">
        <v>264</v>
      </c>
      <c r="B53" s="34" t="s">
        <v>265</v>
      </c>
      <c r="C53" s="1"/>
      <c r="D53" s="1"/>
      <c r="E53" s="1" t="s">
        <v>309</v>
      </c>
      <c r="F53" s="4">
        <v>7024.27</v>
      </c>
      <c r="G53" s="2">
        <v>0</v>
      </c>
      <c r="H53" s="2">
        <v>0</v>
      </c>
      <c r="I53" s="2">
        <v>0</v>
      </c>
      <c r="J53" s="2">
        <v>0</v>
      </c>
      <c r="K53" s="3">
        <v>7024.27</v>
      </c>
      <c r="L53" s="2"/>
      <c r="M53" s="9">
        <f t="shared" si="0"/>
        <v>7024.27</v>
      </c>
      <c r="N53" s="1" t="s">
        <v>393</v>
      </c>
    </row>
    <row r="54" spans="1:14" x14ac:dyDescent="0.25">
      <c r="A54" s="13" t="s">
        <v>292</v>
      </c>
      <c r="B54" s="23" t="s">
        <v>293</v>
      </c>
      <c r="C54" s="13"/>
      <c r="D54" s="13"/>
      <c r="E54" s="13" t="s">
        <v>309</v>
      </c>
      <c r="F54" s="14">
        <v>2090.5300000000002</v>
      </c>
      <c r="G54" s="15">
        <v>681.56</v>
      </c>
      <c r="H54" s="15">
        <v>0</v>
      </c>
      <c r="I54" s="15">
        <v>0</v>
      </c>
      <c r="J54" s="15">
        <v>0</v>
      </c>
      <c r="K54" s="16">
        <v>2772.09</v>
      </c>
      <c r="L54" s="15"/>
      <c r="M54" s="17">
        <f t="shared" si="0"/>
        <v>2772.09</v>
      </c>
      <c r="N54" s="13" t="s">
        <v>393</v>
      </c>
    </row>
    <row r="55" spans="1:14" x14ac:dyDescent="0.25">
      <c r="A55" s="1" t="s">
        <v>175</v>
      </c>
      <c r="B55" s="34" t="s">
        <v>176</v>
      </c>
      <c r="C55" s="1"/>
      <c r="D55" s="1"/>
      <c r="E55" s="1"/>
      <c r="F55" s="4">
        <v>1513.26</v>
      </c>
      <c r="G55" s="2">
        <v>0</v>
      </c>
      <c r="H55" s="2">
        <v>0</v>
      </c>
      <c r="I55" s="2">
        <v>0</v>
      </c>
      <c r="J55" s="2">
        <v>0</v>
      </c>
      <c r="K55" s="3">
        <v>1513.26</v>
      </c>
      <c r="L55" s="2"/>
      <c r="M55" s="9">
        <f t="shared" si="0"/>
        <v>1513.26</v>
      </c>
      <c r="N55" s="1" t="s">
        <v>393</v>
      </c>
    </row>
    <row r="56" spans="1:14" x14ac:dyDescent="0.25">
      <c r="A56" s="1" t="s">
        <v>217</v>
      </c>
      <c r="B56" s="34" t="s">
        <v>218</v>
      </c>
      <c r="C56" s="1"/>
      <c r="D56" s="1"/>
      <c r="E56" s="1"/>
      <c r="F56" s="2">
        <v>255.36</v>
      </c>
      <c r="G56" s="2">
        <v>0</v>
      </c>
      <c r="H56" s="2">
        <v>0</v>
      </c>
      <c r="I56" s="2">
        <v>0</v>
      </c>
      <c r="J56" s="2">
        <v>0</v>
      </c>
      <c r="K56" s="3">
        <v>255.36</v>
      </c>
      <c r="L56" s="2"/>
      <c r="M56" s="9">
        <f t="shared" si="0"/>
        <v>255.36</v>
      </c>
      <c r="N56" s="1">
        <v>0</v>
      </c>
    </row>
    <row r="57" spans="1:14" x14ac:dyDescent="0.25">
      <c r="A57" s="1" t="s">
        <v>215</v>
      </c>
      <c r="B57" s="34" t="s">
        <v>216</v>
      </c>
      <c r="C57" s="1" t="s">
        <v>310</v>
      </c>
      <c r="D57" s="1" t="s">
        <v>311</v>
      </c>
      <c r="E57" s="1" t="s">
        <v>309</v>
      </c>
      <c r="F57" s="4">
        <v>79713.440000000002</v>
      </c>
      <c r="G57" s="2">
        <v>0</v>
      </c>
      <c r="H57" s="2">
        <v>0</v>
      </c>
      <c r="I57" s="2">
        <v>0</v>
      </c>
      <c r="J57" s="2">
        <v>0</v>
      </c>
      <c r="K57" s="3">
        <v>79713.440000000002</v>
      </c>
      <c r="L57" s="2"/>
      <c r="M57" s="9">
        <f t="shared" si="0"/>
        <v>79713.440000000002</v>
      </c>
      <c r="N57" s="1" t="s">
        <v>393</v>
      </c>
    </row>
    <row r="58" spans="1:14" x14ac:dyDescent="0.25">
      <c r="A58" s="1" t="s">
        <v>235</v>
      </c>
      <c r="B58" s="34" t="s">
        <v>236</v>
      </c>
      <c r="C58" s="1"/>
      <c r="D58" s="1"/>
      <c r="E58" s="1" t="s">
        <v>312</v>
      </c>
      <c r="F58" s="4">
        <v>21197.91</v>
      </c>
      <c r="G58" s="2">
        <v>0</v>
      </c>
      <c r="H58" s="2">
        <v>0</v>
      </c>
      <c r="I58" s="2">
        <v>0</v>
      </c>
      <c r="J58" s="2">
        <v>0</v>
      </c>
      <c r="K58" s="3">
        <v>21197.91</v>
      </c>
      <c r="L58" s="2"/>
      <c r="M58" s="9">
        <f t="shared" si="0"/>
        <v>21197.91</v>
      </c>
      <c r="N58" s="1" t="s">
        <v>395</v>
      </c>
    </row>
    <row r="59" spans="1:14" x14ac:dyDescent="0.25">
      <c r="A59" s="1" t="s">
        <v>207</v>
      </c>
      <c r="B59" s="34" t="s">
        <v>208</v>
      </c>
      <c r="C59" s="1"/>
      <c r="D59" s="1"/>
      <c r="E59" s="1"/>
      <c r="F59" s="2">
        <v>418.98</v>
      </c>
      <c r="G59" s="2">
        <v>0</v>
      </c>
      <c r="H59" s="2">
        <v>0</v>
      </c>
      <c r="I59" s="2">
        <v>0</v>
      </c>
      <c r="J59" s="2">
        <v>0</v>
      </c>
      <c r="K59" s="3">
        <v>418.98</v>
      </c>
      <c r="L59" s="2"/>
      <c r="M59" s="9">
        <f t="shared" si="0"/>
        <v>418.98</v>
      </c>
      <c r="N59" s="1" t="s">
        <v>393</v>
      </c>
    </row>
    <row r="60" spans="1:14" x14ac:dyDescent="0.25">
      <c r="A60" s="1" t="s">
        <v>231</v>
      </c>
      <c r="B60" s="34" t="s">
        <v>232</v>
      </c>
      <c r="C60" s="1"/>
      <c r="D60" s="1"/>
      <c r="E60" s="1" t="s">
        <v>309</v>
      </c>
      <c r="F60" s="4">
        <v>46913.279999999999</v>
      </c>
      <c r="G60" s="2">
        <v>0</v>
      </c>
      <c r="H60" s="2">
        <v>0</v>
      </c>
      <c r="I60" s="2">
        <v>0</v>
      </c>
      <c r="J60" s="2">
        <v>0</v>
      </c>
      <c r="K60" s="3">
        <v>46913.279999999999</v>
      </c>
      <c r="L60" s="2"/>
      <c r="M60" s="9">
        <f t="shared" si="0"/>
        <v>46913.279999999999</v>
      </c>
      <c r="N60" s="1" t="s">
        <v>393</v>
      </c>
    </row>
    <row r="61" spans="1:14" x14ac:dyDescent="0.25">
      <c r="A61" s="45" t="s">
        <v>138</v>
      </c>
      <c r="B61" s="46" t="s">
        <v>139</v>
      </c>
      <c r="C61" s="45"/>
      <c r="D61" s="45"/>
      <c r="E61" s="45" t="s">
        <v>309</v>
      </c>
      <c r="F61" s="47">
        <v>0</v>
      </c>
      <c r="G61" s="47">
        <v>0</v>
      </c>
      <c r="H61" s="47">
        <v>0</v>
      </c>
      <c r="I61" s="47">
        <v>0</v>
      </c>
      <c r="J61" s="48">
        <v>3871.43</v>
      </c>
      <c r="K61" s="49">
        <v>3871.43</v>
      </c>
      <c r="L61" s="48"/>
      <c r="M61" s="50">
        <f t="shared" si="0"/>
        <v>3871.43</v>
      </c>
      <c r="N61" s="45" t="s">
        <v>393</v>
      </c>
    </row>
    <row r="62" spans="1:14" x14ac:dyDescent="0.25">
      <c r="A62" s="56" t="s">
        <v>164</v>
      </c>
      <c r="B62" s="57" t="s">
        <v>165</v>
      </c>
      <c r="C62" s="56"/>
      <c r="D62" s="56"/>
      <c r="E62" s="56"/>
      <c r="F62" s="58">
        <v>4502.7299999999996</v>
      </c>
      <c r="G62" s="58">
        <v>0</v>
      </c>
      <c r="H62" s="59">
        <v>0</v>
      </c>
      <c r="I62" s="59">
        <v>0</v>
      </c>
      <c r="J62" s="59">
        <v>0</v>
      </c>
      <c r="K62" s="60">
        <v>4502.7299999999996</v>
      </c>
      <c r="L62" s="59"/>
      <c r="M62" s="61">
        <f t="shared" si="0"/>
        <v>4502.7299999999996</v>
      </c>
      <c r="N62" s="56" t="s">
        <v>396</v>
      </c>
    </row>
    <row r="63" spans="1:14" x14ac:dyDescent="0.25">
      <c r="A63" s="18" t="s">
        <v>8</v>
      </c>
      <c r="B63" s="35" t="s">
        <v>9</v>
      </c>
      <c r="C63" s="18" t="s">
        <v>313</v>
      </c>
      <c r="D63" s="18" t="s">
        <v>314</v>
      </c>
      <c r="E63" s="18" t="s">
        <v>315</v>
      </c>
      <c r="F63" s="19">
        <v>9388.7999999999993</v>
      </c>
      <c r="G63" s="19">
        <v>4553.76</v>
      </c>
      <c r="H63" s="20">
        <v>0</v>
      </c>
      <c r="I63" s="20">
        <v>0</v>
      </c>
      <c r="J63" s="20">
        <v>0</v>
      </c>
      <c r="K63" s="21">
        <v>13942.56</v>
      </c>
      <c r="L63" s="20"/>
      <c r="M63" s="22">
        <f t="shared" si="0"/>
        <v>13942.56</v>
      </c>
      <c r="N63" s="18" t="s">
        <v>393</v>
      </c>
    </row>
    <row r="64" spans="1:14" x14ac:dyDescent="0.25">
      <c r="A64" s="1" t="s">
        <v>247</v>
      </c>
      <c r="B64" s="34" t="s">
        <v>248</v>
      </c>
      <c r="C64" s="1"/>
      <c r="D64" s="1"/>
      <c r="E64" s="1"/>
      <c r="F64" s="4">
        <v>1500</v>
      </c>
      <c r="G64" s="2">
        <v>0</v>
      </c>
      <c r="H64" s="2">
        <v>0</v>
      </c>
      <c r="I64" s="2">
        <v>0</v>
      </c>
      <c r="J64" s="2">
        <v>0</v>
      </c>
      <c r="K64" s="3">
        <v>1500</v>
      </c>
      <c r="L64" s="2"/>
      <c r="M64" s="9">
        <f t="shared" si="0"/>
        <v>1500</v>
      </c>
      <c r="N64" s="1">
        <v>0</v>
      </c>
    </row>
    <row r="65" spans="1:14" x14ac:dyDescent="0.25">
      <c r="A65" s="28" t="s">
        <v>132</v>
      </c>
      <c r="B65" s="28" t="s">
        <v>133</v>
      </c>
      <c r="C65" s="28" t="s">
        <v>316</v>
      </c>
      <c r="D65" s="28" t="s">
        <v>317</v>
      </c>
      <c r="E65" s="28" t="s">
        <v>318</v>
      </c>
      <c r="F65" s="29">
        <v>74474.399999999994</v>
      </c>
      <c r="G65" s="29">
        <f>32785.92-1485</f>
        <v>31300.92</v>
      </c>
      <c r="H65" s="30">
        <v>0</v>
      </c>
      <c r="I65" s="30">
        <v>0</v>
      </c>
      <c r="J65" s="30">
        <v>-0.08</v>
      </c>
      <c r="K65" s="31">
        <v>105775.24</v>
      </c>
      <c r="L65" s="30"/>
      <c r="M65" s="32">
        <f t="shared" si="0"/>
        <v>105775.24</v>
      </c>
      <c r="N65" s="28" t="s">
        <v>393</v>
      </c>
    </row>
    <row r="66" spans="1:14" x14ac:dyDescent="0.25">
      <c r="A66" s="1" t="s">
        <v>211</v>
      </c>
      <c r="B66" s="34" t="s">
        <v>212</v>
      </c>
      <c r="C66" s="1"/>
      <c r="D66" s="1"/>
      <c r="E66" s="1"/>
      <c r="F66" s="4">
        <v>5841.48</v>
      </c>
      <c r="G66" s="2">
        <v>0</v>
      </c>
      <c r="H66" s="2">
        <v>0</v>
      </c>
      <c r="I66" s="2">
        <v>0</v>
      </c>
      <c r="J66" s="2">
        <v>0</v>
      </c>
      <c r="K66" s="3">
        <v>5841.48</v>
      </c>
      <c r="L66" s="2"/>
      <c r="M66" s="9">
        <f t="shared" si="0"/>
        <v>5841.48</v>
      </c>
      <c r="N66" s="1" t="s">
        <v>393</v>
      </c>
    </row>
    <row r="67" spans="1:14" x14ac:dyDescent="0.25">
      <c r="A67" s="13" t="s">
        <v>10</v>
      </c>
      <c r="B67" s="23" t="s">
        <v>11</v>
      </c>
      <c r="C67" s="13" t="s">
        <v>319</v>
      </c>
      <c r="D67" s="13" t="s">
        <v>320</v>
      </c>
      <c r="E67" s="13" t="s">
        <v>309</v>
      </c>
      <c r="F67" s="15">
        <v>0</v>
      </c>
      <c r="G67" s="15">
        <v>0</v>
      </c>
      <c r="H67" s="15">
        <v>0</v>
      </c>
      <c r="I67" s="15">
        <v>0</v>
      </c>
      <c r="J67" s="14">
        <v>1333.31</v>
      </c>
      <c r="K67" s="16">
        <v>1333.31</v>
      </c>
      <c r="L67" s="14"/>
      <c r="M67" s="17">
        <f t="shared" si="0"/>
        <v>1333.31</v>
      </c>
      <c r="N67" s="13" t="s">
        <v>393</v>
      </c>
    </row>
    <row r="68" spans="1:14" x14ac:dyDescent="0.25">
      <c r="A68" s="1" t="s">
        <v>213</v>
      </c>
      <c r="B68" s="34" t="s">
        <v>214</v>
      </c>
      <c r="C68" s="1"/>
      <c r="D68" s="1"/>
      <c r="E68" s="1" t="s">
        <v>309</v>
      </c>
      <c r="F68" s="4">
        <v>46549.4</v>
      </c>
      <c r="G68" s="2">
        <v>0</v>
      </c>
      <c r="H68" s="2">
        <v>0</v>
      </c>
      <c r="I68" s="2">
        <v>0</v>
      </c>
      <c r="J68" s="2">
        <v>0</v>
      </c>
      <c r="K68" s="3">
        <v>46549.4</v>
      </c>
      <c r="L68" s="2"/>
      <c r="M68" s="9">
        <f t="shared" si="0"/>
        <v>46549.4</v>
      </c>
      <c r="N68" s="1" t="s">
        <v>397</v>
      </c>
    </row>
    <row r="69" spans="1:14" x14ac:dyDescent="0.25">
      <c r="A69" s="1" t="s">
        <v>255</v>
      </c>
      <c r="B69" s="34" t="s">
        <v>256</v>
      </c>
      <c r="C69" s="1"/>
      <c r="D69" s="1"/>
      <c r="E69" s="1"/>
      <c r="F69" s="4">
        <v>20919.900000000001</v>
      </c>
      <c r="G69" s="2">
        <v>0</v>
      </c>
      <c r="H69" s="2">
        <v>0</v>
      </c>
      <c r="I69" s="2">
        <v>0</v>
      </c>
      <c r="J69" s="2">
        <v>0</v>
      </c>
      <c r="K69" s="3">
        <v>20919.900000000001</v>
      </c>
      <c r="L69" s="2"/>
      <c r="M69" s="9">
        <f t="shared" si="0"/>
        <v>20919.900000000001</v>
      </c>
      <c r="N69" s="1" t="s">
        <v>392</v>
      </c>
    </row>
    <row r="70" spans="1:14" x14ac:dyDescent="0.25">
      <c r="A70" s="13" t="s">
        <v>191</v>
      </c>
      <c r="B70" s="23" t="s">
        <v>192</v>
      </c>
      <c r="C70" s="13"/>
      <c r="D70" s="13"/>
      <c r="E70" s="13"/>
      <c r="F70" s="14">
        <v>2915.76</v>
      </c>
      <c r="G70" s="15">
        <v>748.08</v>
      </c>
      <c r="H70" s="15">
        <v>0</v>
      </c>
      <c r="I70" s="15">
        <v>0</v>
      </c>
      <c r="J70" s="15">
        <v>0</v>
      </c>
      <c r="K70" s="16">
        <v>3663.84</v>
      </c>
      <c r="L70" s="15"/>
      <c r="M70" s="17">
        <f t="shared" si="0"/>
        <v>3663.84</v>
      </c>
      <c r="N70" s="13" t="s">
        <v>393</v>
      </c>
    </row>
    <row r="71" spans="1:14" x14ac:dyDescent="0.25">
      <c r="A71" s="1" t="s">
        <v>104</v>
      </c>
      <c r="B71" s="34" t="s">
        <v>105</v>
      </c>
      <c r="C71" s="1"/>
      <c r="D71" s="1"/>
      <c r="E71" s="1"/>
      <c r="F71" s="4">
        <v>34121.21</v>
      </c>
      <c r="G71" s="2">
        <v>-14.92</v>
      </c>
      <c r="H71" s="2">
        <v>0</v>
      </c>
      <c r="I71" s="2">
        <v>0</v>
      </c>
      <c r="J71" s="2">
        <v>0</v>
      </c>
      <c r="K71" s="3">
        <v>34106.29</v>
      </c>
      <c r="L71" s="2"/>
      <c r="M71" s="9">
        <f t="shared" si="0"/>
        <v>34106.29</v>
      </c>
      <c r="N71" s="1" t="s">
        <v>393</v>
      </c>
    </row>
    <row r="72" spans="1:14" x14ac:dyDescent="0.25">
      <c r="A72" s="1" t="s">
        <v>201</v>
      </c>
      <c r="B72" s="34" t="s">
        <v>202</v>
      </c>
      <c r="C72" s="1"/>
      <c r="D72" s="1"/>
      <c r="E72" s="1"/>
      <c r="F72" s="4">
        <v>48991.68</v>
      </c>
      <c r="G72" s="2">
        <v>0</v>
      </c>
      <c r="H72" s="2">
        <v>0</v>
      </c>
      <c r="I72" s="2">
        <v>0</v>
      </c>
      <c r="J72" s="2">
        <v>0</v>
      </c>
      <c r="K72" s="3">
        <v>48991.68</v>
      </c>
      <c r="L72" s="2"/>
      <c r="M72" s="9">
        <f t="shared" si="0"/>
        <v>48991.68</v>
      </c>
      <c r="N72" s="1" t="s">
        <v>398</v>
      </c>
    </row>
    <row r="73" spans="1:14" x14ac:dyDescent="0.25">
      <c r="A73" s="1" t="s">
        <v>46</v>
      </c>
      <c r="B73" s="34" t="s">
        <v>47</v>
      </c>
      <c r="C73" s="1"/>
      <c r="D73" s="1"/>
      <c r="E73" s="1"/>
      <c r="F73" s="2">
        <v>900</v>
      </c>
      <c r="G73" s="2">
        <v>0</v>
      </c>
      <c r="H73" s="2">
        <v>0</v>
      </c>
      <c r="I73" s="2">
        <v>0</v>
      </c>
      <c r="J73" s="2">
        <v>0</v>
      </c>
      <c r="K73" s="3">
        <v>900</v>
      </c>
      <c r="L73" s="2"/>
      <c r="M73" s="9">
        <f t="shared" si="0"/>
        <v>900</v>
      </c>
      <c r="N73" s="1" t="s">
        <v>393</v>
      </c>
    </row>
    <row r="74" spans="1:14" x14ac:dyDescent="0.25">
      <c r="A74" s="1" t="s">
        <v>12</v>
      </c>
      <c r="B74" s="34" t="s">
        <v>13</v>
      </c>
      <c r="C74" s="1" t="s">
        <v>321</v>
      </c>
      <c r="D74" s="1" t="s">
        <v>322</v>
      </c>
      <c r="E74" s="1" t="s">
        <v>309</v>
      </c>
      <c r="F74" s="4">
        <v>26890.2</v>
      </c>
      <c r="G74" s="2">
        <v>0</v>
      </c>
      <c r="H74" s="2">
        <v>0</v>
      </c>
      <c r="I74" s="2">
        <v>0</v>
      </c>
      <c r="J74" s="2">
        <v>0</v>
      </c>
      <c r="K74" s="3">
        <v>26890.2</v>
      </c>
      <c r="L74" s="2"/>
      <c r="M74" s="9">
        <f t="shared" si="0"/>
        <v>26890.2</v>
      </c>
      <c r="N74" s="1" t="s">
        <v>399</v>
      </c>
    </row>
    <row r="75" spans="1:14" x14ac:dyDescent="0.25">
      <c r="A75" s="1" t="s">
        <v>14</v>
      </c>
      <c r="B75" s="34" t="s">
        <v>15</v>
      </c>
      <c r="C75" s="1" t="s">
        <v>323</v>
      </c>
      <c r="D75" s="1" t="s">
        <v>324</v>
      </c>
      <c r="E75" s="1" t="s">
        <v>309</v>
      </c>
      <c r="F75" s="4">
        <v>151280.03</v>
      </c>
      <c r="G75" s="2">
        <v>0</v>
      </c>
      <c r="H75" s="2">
        <v>0</v>
      </c>
      <c r="I75" s="2">
        <v>0</v>
      </c>
      <c r="J75" s="2">
        <v>0</v>
      </c>
      <c r="K75" s="3">
        <v>151280.03</v>
      </c>
      <c r="L75" s="2"/>
      <c r="M75" s="9">
        <f t="shared" si="0"/>
        <v>151280.03</v>
      </c>
      <c r="N75" s="1" t="s">
        <v>393</v>
      </c>
    </row>
    <row r="76" spans="1:14" x14ac:dyDescent="0.25">
      <c r="A76" s="1" t="s">
        <v>16</v>
      </c>
      <c r="B76" s="34" t="s">
        <v>17</v>
      </c>
      <c r="C76" s="1" t="s">
        <v>325</v>
      </c>
      <c r="D76" s="1" t="s">
        <v>326</v>
      </c>
      <c r="E76" s="1" t="s">
        <v>306</v>
      </c>
      <c r="F76" s="4">
        <v>2424.9899999999998</v>
      </c>
      <c r="G76" s="2">
        <v>0</v>
      </c>
      <c r="H76" s="2">
        <v>-32.4</v>
      </c>
      <c r="I76" s="2">
        <v>0</v>
      </c>
      <c r="J76" s="2">
        <v>-18.239999999999998</v>
      </c>
      <c r="K76" s="3">
        <v>2374.35</v>
      </c>
      <c r="L76" s="2"/>
      <c r="M76" s="9">
        <f t="shared" si="0"/>
        <v>2374.35</v>
      </c>
      <c r="N76" s="1" t="s">
        <v>400</v>
      </c>
    </row>
    <row r="77" spans="1:14" x14ac:dyDescent="0.25">
      <c r="A77" s="28" t="s">
        <v>18</v>
      </c>
      <c r="B77" s="28" t="s">
        <v>19</v>
      </c>
      <c r="C77" s="28" t="s">
        <v>327</v>
      </c>
      <c r="D77" s="28" t="s">
        <v>328</v>
      </c>
      <c r="E77" s="28" t="s">
        <v>309</v>
      </c>
      <c r="F77" s="29">
        <v>34548.480000000003</v>
      </c>
      <c r="G77" s="29">
        <v>0</v>
      </c>
      <c r="H77" s="30">
        <v>0</v>
      </c>
      <c r="I77" s="30">
        <v>0</v>
      </c>
      <c r="J77" s="30">
        <v>0</v>
      </c>
      <c r="K77" s="31">
        <v>34548.480000000003</v>
      </c>
      <c r="L77" s="30"/>
      <c r="M77" s="32">
        <f t="shared" si="0"/>
        <v>34548.480000000003</v>
      </c>
      <c r="N77" s="28" t="s">
        <v>393</v>
      </c>
    </row>
    <row r="78" spans="1:14" x14ac:dyDescent="0.25">
      <c r="A78" s="1" t="s">
        <v>20</v>
      </c>
      <c r="B78" s="34" t="s">
        <v>21</v>
      </c>
      <c r="C78" s="1"/>
      <c r="D78" s="1"/>
      <c r="E78" s="1"/>
      <c r="F78" s="2">
        <v>351.68</v>
      </c>
      <c r="G78" s="2">
        <v>0</v>
      </c>
      <c r="H78" s="2">
        <v>0</v>
      </c>
      <c r="I78" s="2">
        <v>0</v>
      </c>
      <c r="J78" s="2">
        <v>0</v>
      </c>
      <c r="K78" s="3">
        <v>351.68</v>
      </c>
      <c r="L78" s="2"/>
      <c r="M78" s="9">
        <f t="shared" si="0"/>
        <v>351.68</v>
      </c>
      <c r="N78" s="1"/>
    </row>
    <row r="79" spans="1:14" x14ac:dyDescent="0.25">
      <c r="A79" s="1" t="s">
        <v>245</v>
      </c>
      <c r="B79" s="34" t="s">
        <v>246</v>
      </c>
      <c r="C79" s="1" t="s">
        <v>329</v>
      </c>
      <c r="D79" s="1" t="s">
        <v>330</v>
      </c>
      <c r="E79" s="1" t="s">
        <v>309</v>
      </c>
      <c r="F79" s="4">
        <v>58224.72</v>
      </c>
      <c r="G79" s="2">
        <v>0</v>
      </c>
      <c r="H79" s="2">
        <v>0</v>
      </c>
      <c r="I79" s="2">
        <v>0</v>
      </c>
      <c r="J79" s="2">
        <v>0</v>
      </c>
      <c r="K79" s="3">
        <v>58224.72</v>
      </c>
      <c r="L79" s="2"/>
      <c r="M79" s="9">
        <f t="shared" si="0"/>
        <v>58224.72</v>
      </c>
      <c r="N79" s="1" t="s">
        <v>393</v>
      </c>
    </row>
    <row r="80" spans="1:14" x14ac:dyDescent="0.25">
      <c r="A80" s="13" t="s">
        <v>94</v>
      </c>
      <c r="B80" s="23" t="s">
        <v>95</v>
      </c>
      <c r="C80" s="13" t="s">
        <v>331</v>
      </c>
      <c r="D80" s="13" t="s">
        <v>332</v>
      </c>
      <c r="E80" s="13" t="s">
        <v>309</v>
      </c>
      <c r="F80" s="15">
        <v>0</v>
      </c>
      <c r="G80" s="15">
        <v>0</v>
      </c>
      <c r="H80" s="15">
        <v>0</v>
      </c>
      <c r="I80" s="15">
        <v>0</v>
      </c>
      <c r="J80" s="14">
        <v>1116.96</v>
      </c>
      <c r="K80" s="16">
        <v>1116.96</v>
      </c>
      <c r="L80" s="14"/>
      <c r="M80" s="17">
        <f t="shared" si="0"/>
        <v>1116.96</v>
      </c>
      <c r="N80" s="13" t="s">
        <v>393</v>
      </c>
    </row>
    <row r="81" spans="1:14" x14ac:dyDescent="0.25">
      <c r="A81" s="1" t="s">
        <v>177</v>
      </c>
      <c r="B81" s="34" t="s">
        <v>178</v>
      </c>
      <c r="C81" s="1" t="s">
        <v>333</v>
      </c>
      <c r="D81" s="1" t="s">
        <v>334</v>
      </c>
      <c r="E81" s="1" t="s">
        <v>309</v>
      </c>
      <c r="F81" s="4">
        <v>9549.0499999999993</v>
      </c>
      <c r="G81" s="2">
        <v>0</v>
      </c>
      <c r="H81" s="2">
        <v>0</v>
      </c>
      <c r="I81" s="2">
        <v>0</v>
      </c>
      <c r="J81" s="2">
        <v>0</v>
      </c>
      <c r="K81" s="3">
        <v>9549.0499999999993</v>
      </c>
      <c r="L81" s="2"/>
      <c r="M81" s="9">
        <f t="shared" si="0"/>
        <v>9549.0499999999993</v>
      </c>
      <c r="N81" s="1" t="s">
        <v>393</v>
      </c>
    </row>
    <row r="82" spans="1:14" x14ac:dyDescent="0.25">
      <c r="A82" s="13" t="s">
        <v>22</v>
      </c>
      <c r="B82" s="23" t="s">
        <v>23</v>
      </c>
      <c r="C82" s="13" t="s">
        <v>335</v>
      </c>
      <c r="D82" s="13" t="s">
        <v>336</v>
      </c>
      <c r="E82" s="13" t="s">
        <v>309</v>
      </c>
      <c r="F82" s="14">
        <v>220389.42</v>
      </c>
      <c r="G82" s="14">
        <v>29554.2</v>
      </c>
      <c r="H82" s="15">
        <v>0</v>
      </c>
      <c r="I82" s="15">
        <v>0</v>
      </c>
      <c r="J82" s="15">
        <v>0</v>
      </c>
      <c r="K82" s="16">
        <v>249943.62</v>
      </c>
      <c r="L82" s="15"/>
      <c r="M82" s="17">
        <f t="shared" si="0"/>
        <v>249943.62</v>
      </c>
      <c r="N82" s="13" t="s">
        <v>393</v>
      </c>
    </row>
    <row r="83" spans="1:14" x14ac:dyDescent="0.25">
      <c r="A83" s="1" t="s">
        <v>144</v>
      </c>
      <c r="B83" s="34" t="s">
        <v>145</v>
      </c>
      <c r="C83" s="1"/>
      <c r="D83" s="1"/>
      <c r="E83" s="1"/>
      <c r="F83" s="4">
        <v>3549.11</v>
      </c>
      <c r="G83" s="2">
        <v>0</v>
      </c>
      <c r="H83" s="2">
        <v>0</v>
      </c>
      <c r="I83" s="2">
        <v>0</v>
      </c>
      <c r="J83" s="2">
        <v>0</v>
      </c>
      <c r="K83" s="3">
        <v>3549.11</v>
      </c>
      <c r="L83" s="2"/>
      <c r="M83" s="9">
        <f t="shared" si="0"/>
        <v>3549.11</v>
      </c>
      <c r="N83" s="1" t="s">
        <v>393</v>
      </c>
    </row>
    <row r="84" spans="1:14" x14ac:dyDescent="0.25">
      <c r="A84" s="1" t="s">
        <v>24</v>
      </c>
      <c r="B84" s="34" t="s">
        <v>25</v>
      </c>
      <c r="C84" s="1"/>
      <c r="D84" s="1"/>
      <c r="E84" s="1"/>
      <c r="F84" s="4">
        <v>12282.72</v>
      </c>
      <c r="G84" s="2">
        <v>0</v>
      </c>
      <c r="H84" s="2">
        <v>0</v>
      </c>
      <c r="I84" s="2">
        <v>0</v>
      </c>
      <c r="J84" s="2">
        <v>0</v>
      </c>
      <c r="K84" s="3">
        <v>12282.72</v>
      </c>
      <c r="L84" s="2"/>
      <c r="M84" s="9">
        <f t="shared" si="0"/>
        <v>12282.72</v>
      </c>
      <c r="N84" s="1" t="s">
        <v>393</v>
      </c>
    </row>
    <row r="85" spans="1:14" x14ac:dyDescent="0.25">
      <c r="A85" s="51" t="s">
        <v>44</v>
      </c>
      <c r="B85" s="28" t="s">
        <v>45</v>
      </c>
      <c r="C85" s="51" t="s">
        <v>337</v>
      </c>
      <c r="D85" s="51" t="s">
        <v>338</v>
      </c>
      <c r="E85" s="51" t="s">
        <v>318</v>
      </c>
      <c r="F85" s="52">
        <v>40335.040000000001</v>
      </c>
      <c r="G85" s="52">
        <v>18624.86</v>
      </c>
      <c r="H85" s="53">
        <v>0</v>
      </c>
      <c r="I85" s="53">
        <v>0</v>
      </c>
      <c r="J85" s="53">
        <v>0</v>
      </c>
      <c r="K85" s="54">
        <v>58959.9</v>
      </c>
      <c r="L85" s="53"/>
      <c r="M85" s="55">
        <f t="shared" si="0"/>
        <v>58959.9</v>
      </c>
      <c r="N85" s="51" t="s">
        <v>393</v>
      </c>
    </row>
    <row r="86" spans="1:14" x14ac:dyDescent="0.25">
      <c r="A86" s="1" t="s">
        <v>257</v>
      </c>
      <c r="B86" s="34" t="s">
        <v>258</v>
      </c>
      <c r="C86" s="1"/>
      <c r="D86" s="1"/>
      <c r="E86" s="1"/>
      <c r="F86" s="4">
        <v>18429.599999999999</v>
      </c>
      <c r="G86" s="2">
        <v>0</v>
      </c>
      <c r="H86" s="2">
        <v>0</v>
      </c>
      <c r="I86" s="2">
        <v>0</v>
      </c>
      <c r="J86" s="2">
        <v>0</v>
      </c>
      <c r="K86" s="3">
        <v>18429.599999999999</v>
      </c>
      <c r="L86" s="2"/>
      <c r="M86" s="9">
        <f t="shared" si="0"/>
        <v>18429.599999999999</v>
      </c>
      <c r="N86" s="1" t="s">
        <v>393</v>
      </c>
    </row>
    <row r="87" spans="1:14" x14ac:dyDescent="0.25">
      <c r="A87" s="1" t="s">
        <v>126</v>
      </c>
      <c r="B87" s="34" t="s">
        <v>127</v>
      </c>
      <c r="C87" s="1"/>
      <c r="D87" s="1"/>
      <c r="E87" s="1"/>
      <c r="F87" s="4">
        <v>3000</v>
      </c>
      <c r="G87" s="2">
        <v>0</v>
      </c>
      <c r="H87" s="2">
        <v>0</v>
      </c>
      <c r="I87" s="2">
        <v>0</v>
      </c>
      <c r="J87" s="2">
        <v>0</v>
      </c>
      <c r="K87" s="3">
        <v>3000</v>
      </c>
      <c r="L87" s="2"/>
      <c r="M87" s="9">
        <f t="shared" si="0"/>
        <v>3000</v>
      </c>
      <c r="N87" s="1">
        <v>0</v>
      </c>
    </row>
    <row r="88" spans="1:14" x14ac:dyDescent="0.25">
      <c r="A88" s="1" t="s">
        <v>26</v>
      </c>
      <c r="B88" s="34" t="s">
        <v>27</v>
      </c>
      <c r="C88" s="1"/>
      <c r="D88" s="1"/>
      <c r="E88" s="1"/>
      <c r="F88" s="2">
        <v>900.78</v>
      </c>
      <c r="G88" s="2">
        <v>0</v>
      </c>
      <c r="H88" s="2">
        <v>-12</v>
      </c>
      <c r="I88" s="2">
        <v>0</v>
      </c>
      <c r="J88" s="2">
        <v>0</v>
      </c>
      <c r="K88" s="3">
        <v>888.78</v>
      </c>
      <c r="L88" s="2"/>
      <c r="M88" s="9">
        <f t="shared" si="0"/>
        <v>888.78</v>
      </c>
      <c r="N88" s="1" t="s">
        <v>392</v>
      </c>
    </row>
    <row r="89" spans="1:14" x14ac:dyDescent="0.25">
      <c r="A89" s="1" t="s">
        <v>160</v>
      </c>
      <c r="B89" s="34" t="s">
        <v>161</v>
      </c>
      <c r="C89" s="1"/>
      <c r="D89" s="1"/>
      <c r="E89" s="1"/>
      <c r="F89" s="4">
        <v>76918.67</v>
      </c>
      <c r="G89" s="2">
        <v>-441.48</v>
      </c>
      <c r="H89" s="2">
        <v>0</v>
      </c>
      <c r="I89" s="2">
        <v>0</v>
      </c>
      <c r="J89" s="2">
        <v>-50.84</v>
      </c>
      <c r="K89" s="3">
        <v>76426.350000000006</v>
      </c>
      <c r="L89" s="2"/>
      <c r="M89" s="9">
        <f t="shared" si="0"/>
        <v>76426.350000000006</v>
      </c>
      <c r="N89" s="1" t="s">
        <v>393</v>
      </c>
    </row>
    <row r="90" spans="1:14" x14ac:dyDescent="0.25">
      <c r="A90" s="1" t="s">
        <v>146</v>
      </c>
      <c r="B90" s="34" t="s">
        <v>147</v>
      </c>
      <c r="C90" s="1"/>
      <c r="D90" s="1"/>
      <c r="E90" s="1"/>
      <c r="F90" s="4">
        <v>4812.07</v>
      </c>
      <c r="G90" s="2">
        <v>0</v>
      </c>
      <c r="H90" s="2">
        <v>0</v>
      </c>
      <c r="I90" s="2">
        <v>0</v>
      </c>
      <c r="J90" s="2">
        <v>0</v>
      </c>
      <c r="K90" s="3">
        <v>4812.07</v>
      </c>
      <c r="L90" s="2"/>
      <c r="M90" s="9">
        <f t="shared" si="0"/>
        <v>4812.07</v>
      </c>
      <c r="N90" s="1" t="s">
        <v>393</v>
      </c>
    </row>
    <row r="91" spans="1:14" x14ac:dyDescent="0.25">
      <c r="A91" s="1" t="s">
        <v>74</v>
      </c>
      <c r="B91" s="34" t="s">
        <v>75</v>
      </c>
      <c r="C91" s="1" t="s">
        <v>339</v>
      </c>
      <c r="D91" s="1" t="s">
        <v>340</v>
      </c>
      <c r="E91" s="1" t="s">
        <v>309</v>
      </c>
      <c r="F91" s="4">
        <v>97297.52</v>
      </c>
      <c r="G91" s="2">
        <v>-429.33</v>
      </c>
      <c r="H91" s="2">
        <v>-18</v>
      </c>
      <c r="I91" s="2">
        <v>-372.53</v>
      </c>
      <c r="J91" s="4">
        <v>-2044.62</v>
      </c>
      <c r="K91" s="3">
        <v>94433.04</v>
      </c>
      <c r="L91" s="4"/>
      <c r="M91" s="9">
        <f t="shared" si="0"/>
        <v>94433.04</v>
      </c>
      <c r="N91" s="1" t="s">
        <v>393</v>
      </c>
    </row>
    <row r="92" spans="1:14" x14ac:dyDescent="0.25">
      <c r="A92" s="13" t="s">
        <v>181</v>
      </c>
      <c r="B92" s="23" t="s">
        <v>182</v>
      </c>
      <c r="C92" s="13" t="s">
        <v>341</v>
      </c>
      <c r="D92" s="13" t="s">
        <v>342</v>
      </c>
      <c r="E92" s="13" t="s">
        <v>343</v>
      </c>
      <c r="F92" s="14">
        <v>-4195.68</v>
      </c>
      <c r="G92" s="14">
        <v>39159.18</v>
      </c>
      <c r="H92" s="14">
        <v>10080</v>
      </c>
      <c r="I92" s="15">
        <v>0</v>
      </c>
      <c r="J92" s="15">
        <v>312</v>
      </c>
      <c r="K92" s="16">
        <v>45355.5</v>
      </c>
      <c r="L92" s="15"/>
      <c r="M92" s="17">
        <f t="shared" si="0"/>
        <v>45355.5</v>
      </c>
      <c r="N92" s="13" t="s">
        <v>399</v>
      </c>
    </row>
    <row r="93" spans="1:14" x14ac:dyDescent="0.25">
      <c r="A93" s="1" t="s">
        <v>30</v>
      </c>
      <c r="B93" s="34" t="s">
        <v>31</v>
      </c>
      <c r="C93" s="1" t="s">
        <v>344</v>
      </c>
      <c r="D93" s="1" t="s">
        <v>345</v>
      </c>
      <c r="E93" s="1" t="s">
        <v>346</v>
      </c>
      <c r="F93" s="4">
        <v>8249.06</v>
      </c>
      <c r="G93" s="2">
        <v>0</v>
      </c>
      <c r="H93" s="2">
        <v>0</v>
      </c>
      <c r="I93" s="2">
        <v>0</v>
      </c>
      <c r="J93" s="2">
        <v>0</v>
      </c>
      <c r="K93" s="3">
        <v>8249.06</v>
      </c>
      <c r="L93" s="2"/>
      <c r="M93" s="9">
        <f t="shared" si="0"/>
        <v>8249.06</v>
      </c>
      <c r="N93" s="1" t="s">
        <v>393</v>
      </c>
    </row>
    <row r="94" spans="1:14" x14ac:dyDescent="0.25">
      <c r="A94" s="13" t="s">
        <v>249</v>
      </c>
      <c r="B94" s="23" t="s">
        <v>250</v>
      </c>
      <c r="C94" s="13"/>
      <c r="D94" s="13"/>
      <c r="E94" s="13"/>
      <c r="F94" s="15">
        <v>0</v>
      </c>
      <c r="G94" s="14">
        <v>1685.1</v>
      </c>
      <c r="H94" s="15">
        <v>0</v>
      </c>
      <c r="I94" s="15">
        <v>0</v>
      </c>
      <c r="J94" s="15">
        <v>0</v>
      </c>
      <c r="K94" s="16">
        <v>1685.1</v>
      </c>
      <c r="L94" s="15"/>
      <c r="M94" s="17">
        <f t="shared" si="0"/>
        <v>1685.1</v>
      </c>
      <c r="N94" s="13" t="s">
        <v>395</v>
      </c>
    </row>
    <row r="95" spans="1:14" x14ac:dyDescent="0.25">
      <c r="A95" s="1" t="s">
        <v>32</v>
      </c>
      <c r="B95" s="34" t="s">
        <v>33</v>
      </c>
      <c r="C95" s="1" t="s">
        <v>347</v>
      </c>
      <c r="D95" s="1" t="s">
        <v>348</v>
      </c>
      <c r="E95" s="1" t="s">
        <v>309</v>
      </c>
      <c r="F95" s="4">
        <v>11264.04</v>
      </c>
      <c r="G95" s="2">
        <v>0</v>
      </c>
      <c r="H95" s="2">
        <v>0</v>
      </c>
      <c r="I95" s="2">
        <v>0</v>
      </c>
      <c r="J95" s="2">
        <v>0</v>
      </c>
      <c r="K95" s="3">
        <v>11264.04</v>
      </c>
      <c r="L95" s="2"/>
      <c r="M95" s="9">
        <f t="shared" si="0"/>
        <v>11264.04</v>
      </c>
      <c r="N95" s="1" t="s">
        <v>393</v>
      </c>
    </row>
    <row r="96" spans="1:14" x14ac:dyDescent="0.25">
      <c r="A96" s="1" t="s">
        <v>195</v>
      </c>
      <c r="B96" s="34" t="s">
        <v>196</v>
      </c>
      <c r="C96" s="1"/>
      <c r="D96" s="1"/>
      <c r="E96" s="1"/>
      <c r="F96" s="4">
        <v>16922.400000000001</v>
      </c>
      <c r="G96" s="2">
        <v>0</v>
      </c>
      <c r="H96" s="2">
        <v>0</v>
      </c>
      <c r="I96" s="2">
        <v>0</v>
      </c>
      <c r="J96" s="2">
        <v>0</v>
      </c>
      <c r="K96" s="3">
        <v>16922.400000000001</v>
      </c>
      <c r="L96" s="2"/>
      <c r="M96" s="9">
        <f t="shared" ref="M96:M157" si="1">K96-L96</f>
        <v>16922.400000000001</v>
      </c>
      <c r="N96" s="1" t="s">
        <v>395</v>
      </c>
    </row>
    <row r="97" spans="1:14" x14ac:dyDescent="0.25">
      <c r="A97" s="1" t="s">
        <v>183</v>
      </c>
      <c r="B97" s="34" t="s">
        <v>184</v>
      </c>
      <c r="C97" s="1"/>
      <c r="D97" s="1"/>
      <c r="E97" s="1"/>
      <c r="F97" s="4">
        <v>21938.94</v>
      </c>
      <c r="G97" s="2">
        <v>0</v>
      </c>
      <c r="H97" s="2">
        <v>0</v>
      </c>
      <c r="I97" s="2">
        <v>0</v>
      </c>
      <c r="J97" s="2">
        <v>0</v>
      </c>
      <c r="K97" s="3">
        <v>21938.94</v>
      </c>
      <c r="L97" s="2"/>
      <c r="M97" s="9">
        <f t="shared" si="1"/>
        <v>21938.94</v>
      </c>
      <c r="N97" s="1" t="s">
        <v>393</v>
      </c>
    </row>
    <row r="98" spans="1:14" x14ac:dyDescent="0.25">
      <c r="A98" s="1" t="s">
        <v>98</v>
      </c>
      <c r="B98" s="34" t="s">
        <v>99</v>
      </c>
      <c r="C98" s="1"/>
      <c r="D98" s="1"/>
      <c r="E98" s="1"/>
      <c r="F98" s="4">
        <v>1372.77</v>
      </c>
      <c r="G98" s="2">
        <v>0</v>
      </c>
      <c r="H98" s="2">
        <v>0</v>
      </c>
      <c r="I98" s="2">
        <v>0</v>
      </c>
      <c r="J98" s="2">
        <v>0</v>
      </c>
      <c r="K98" s="3">
        <v>1372.77</v>
      </c>
      <c r="L98" s="2"/>
      <c r="M98" s="9">
        <f t="shared" si="1"/>
        <v>1372.77</v>
      </c>
      <c r="N98" s="1" t="s">
        <v>401</v>
      </c>
    </row>
    <row r="99" spans="1:14" x14ac:dyDescent="0.25">
      <c r="A99" s="1" t="s">
        <v>100</v>
      </c>
      <c r="B99" s="34" t="s">
        <v>101</v>
      </c>
      <c r="C99" s="1"/>
      <c r="D99" s="1"/>
      <c r="E99" s="1"/>
      <c r="F99" s="4">
        <v>933.44</v>
      </c>
      <c r="G99" s="2">
        <v>0</v>
      </c>
      <c r="H99" s="2">
        <v>0</v>
      </c>
      <c r="I99" s="2">
        <v>0</v>
      </c>
      <c r="J99" s="2">
        <v>0</v>
      </c>
      <c r="K99" s="3">
        <v>933.44</v>
      </c>
      <c r="L99" s="2"/>
      <c r="M99" s="9">
        <f t="shared" si="1"/>
        <v>933.44</v>
      </c>
      <c r="N99" s="1" t="s">
        <v>401</v>
      </c>
    </row>
    <row r="100" spans="1:14" x14ac:dyDescent="0.25">
      <c r="A100" s="1" t="s">
        <v>102</v>
      </c>
      <c r="B100" s="34" t="s">
        <v>103</v>
      </c>
      <c r="C100" s="1"/>
      <c r="D100" s="1"/>
      <c r="E100" s="1"/>
      <c r="F100" s="4">
        <v>1236.8900000000001</v>
      </c>
      <c r="G100" s="2">
        <v>0</v>
      </c>
      <c r="H100" s="2">
        <v>0</v>
      </c>
      <c r="I100" s="2">
        <v>0</v>
      </c>
      <c r="J100" s="2">
        <v>0</v>
      </c>
      <c r="K100" s="3">
        <v>1236.8900000000001</v>
      </c>
      <c r="L100" s="2"/>
      <c r="M100" s="9">
        <f t="shared" si="1"/>
        <v>1236.8900000000001</v>
      </c>
      <c r="N100" s="1" t="s">
        <v>401</v>
      </c>
    </row>
    <row r="101" spans="1:14" x14ac:dyDescent="0.25">
      <c r="A101" s="1" t="s">
        <v>36</v>
      </c>
      <c r="B101" s="34" t="s">
        <v>37</v>
      </c>
      <c r="C101" s="1"/>
      <c r="D101" s="1"/>
      <c r="E101" s="1"/>
      <c r="F101" s="4">
        <v>1375</v>
      </c>
      <c r="G101" s="2">
        <v>0</v>
      </c>
      <c r="H101" s="2">
        <v>0</v>
      </c>
      <c r="I101" s="2">
        <v>0</v>
      </c>
      <c r="J101" s="2">
        <v>0</v>
      </c>
      <c r="K101" s="3">
        <v>1375</v>
      </c>
      <c r="L101" s="2"/>
      <c r="M101" s="9">
        <f t="shared" si="1"/>
        <v>1375</v>
      </c>
      <c r="N101" s="1" t="s">
        <v>393</v>
      </c>
    </row>
    <row r="102" spans="1:14" x14ac:dyDescent="0.25">
      <c r="A102" s="1" t="s">
        <v>136</v>
      </c>
      <c r="B102" s="34" t="s">
        <v>137</v>
      </c>
      <c r="C102" s="1"/>
      <c r="D102" s="1"/>
      <c r="E102" s="1"/>
      <c r="F102" s="4">
        <v>37182.870000000003</v>
      </c>
      <c r="G102" s="2">
        <v>0</v>
      </c>
      <c r="H102" s="2">
        <v>0</v>
      </c>
      <c r="I102" s="2">
        <v>0</v>
      </c>
      <c r="J102" s="2">
        <v>0</v>
      </c>
      <c r="K102" s="3">
        <v>37182.870000000003</v>
      </c>
      <c r="L102" s="2"/>
      <c r="M102" s="9">
        <f t="shared" si="1"/>
        <v>37182.870000000003</v>
      </c>
      <c r="N102" s="1" t="s">
        <v>393</v>
      </c>
    </row>
    <row r="103" spans="1:14" x14ac:dyDescent="0.25">
      <c r="A103" s="1" t="s">
        <v>38</v>
      </c>
      <c r="B103" s="34" t="s">
        <v>39</v>
      </c>
      <c r="C103" s="1"/>
      <c r="D103" s="1"/>
      <c r="E103" s="1"/>
      <c r="F103" s="4">
        <v>87237.6</v>
      </c>
      <c r="G103" s="2">
        <v>0</v>
      </c>
      <c r="H103" s="2">
        <v>0</v>
      </c>
      <c r="I103" s="2">
        <v>0</v>
      </c>
      <c r="J103" s="2">
        <v>0</v>
      </c>
      <c r="K103" s="3">
        <v>87237.6</v>
      </c>
      <c r="L103" s="2"/>
      <c r="M103" s="9">
        <f t="shared" si="1"/>
        <v>87237.6</v>
      </c>
      <c r="N103" s="1" t="s">
        <v>393</v>
      </c>
    </row>
    <row r="104" spans="1:14" x14ac:dyDescent="0.25">
      <c r="A104" s="1" t="s">
        <v>152</v>
      </c>
      <c r="B104" s="34" t="s">
        <v>153</v>
      </c>
      <c r="C104" s="1" t="s">
        <v>349</v>
      </c>
      <c r="D104" s="1" t="s">
        <v>350</v>
      </c>
      <c r="E104" s="1">
        <v>0</v>
      </c>
      <c r="F104" s="4">
        <v>5179.0200000000004</v>
      </c>
      <c r="G104" s="2">
        <v>0</v>
      </c>
      <c r="H104" s="2">
        <v>0</v>
      </c>
      <c r="I104" s="2">
        <v>0</v>
      </c>
      <c r="J104" s="2">
        <v>-2.2599999999999998</v>
      </c>
      <c r="K104" s="3">
        <v>5176.76</v>
      </c>
      <c r="L104" s="2"/>
      <c r="M104" s="9">
        <f t="shared" si="1"/>
        <v>5176.76</v>
      </c>
      <c r="N104" s="1" t="s">
        <v>392</v>
      </c>
    </row>
    <row r="105" spans="1:14" x14ac:dyDescent="0.25">
      <c r="A105" s="1" t="s">
        <v>112</v>
      </c>
      <c r="B105" s="34" t="s">
        <v>113</v>
      </c>
      <c r="C105" s="1"/>
      <c r="D105" s="1"/>
      <c r="E105" s="1"/>
      <c r="F105" s="4">
        <v>1043.6400000000001</v>
      </c>
      <c r="G105" s="2">
        <v>0</v>
      </c>
      <c r="H105" s="2">
        <v>0</v>
      </c>
      <c r="I105" s="2">
        <v>0</v>
      </c>
      <c r="J105" s="2">
        <v>0</v>
      </c>
      <c r="K105" s="3">
        <v>1043.6400000000001</v>
      </c>
      <c r="L105" s="2"/>
      <c r="M105" s="9">
        <f t="shared" si="1"/>
        <v>1043.6400000000001</v>
      </c>
      <c r="N105" s="1" t="s">
        <v>393</v>
      </c>
    </row>
    <row r="106" spans="1:14" x14ac:dyDescent="0.25">
      <c r="A106" s="1" t="s">
        <v>40</v>
      </c>
      <c r="B106" s="34" t="s">
        <v>41</v>
      </c>
      <c r="C106" s="1"/>
      <c r="D106" s="1"/>
      <c r="E106" s="1"/>
      <c r="F106" s="4">
        <v>33949.07</v>
      </c>
      <c r="G106" s="2">
        <v>0</v>
      </c>
      <c r="H106" s="2">
        <v>0</v>
      </c>
      <c r="I106" s="2">
        <v>0</v>
      </c>
      <c r="J106" s="2">
        <v>0</v>
      </c>
      <c r="K106" s="3">
        <v>33949.07</v>
      </c>
      <c r="L106" s="2"/>
      <c r="M106" s="9">
        <f t="shared" si="1"/>
        <v>33949.07</v>
      </c>
      <c r="N106" s="1" t="s">
        <v>393</v>
      </c>
    </row>
    <row r="107" spans="1:14" x14ac:dyDescent="0.25">
      <c r="A107" s="13" t="s">
        <v>209</v>
      </c>
      <c r="B107" s="23" t="s">
        <v>210</v>
      </c>
      <c r="C107" s="13" t="s">
        <v>351</v>
      </c>
      <c r="D107" s="13" t="s">
        <v>352</v>
      </c>
      <c r="E107" s="13" t="s">
        <v>309</v>
      </c>
      <c r="F107" s="15">
        <v>0</v>
      </c>
      <c r="G107" s="15">
        <v>0</v>
      </c>
      <c r="H107" s="14">
        <v>20000</v>
      </c>
      <c r="I107" s="15">
        <v>0</v>
      </c>
      <c r="J107" s="15">
        <v>0</v>
      </c>
      <c r="K107" s="16">
        <v>20000</v>
      </c>
      <c r="L107" s="15"/>
      <c r="M107" s="17">
        <f t="shared" si="1"/>
        <v>20000</v>
      </c>
      <c r="N107" s="13" t="s">
        <v>395</v>
      </c>
    </row>
    <row r="108" spans="1:14" x14ac:dyDescent="0.25">
      <c r="A108" s="13" t="s">
        <v>72</v>
      </c>
      <c r="B108" s="23" t="s">
        <v>73</v>
      </c>
      <c r="C108" s="13" t="s">
        <v>353</v>
      </c>
      <c r="D108" s="13" t="s">
        <v>354</v>
      </c>
      <c r="E108" s="13" t="s">
        <v>309</v>
      </c>
      <c r="F108" s="15">
        <v>0</v>
      </c>
      <c r="G108" s="15">
        <v>0</v>
      </c>
      <c r="H108" s="15">
        <v>0</v>
      </c>
      <c r="I108" s="15">
        <v>0</v>
      </c>
      <c r="J108" s="14">
        <v>13182.26</v>
      </c>
      <c r="K108" s="16">
        <v>13182.26</v>
      </c>
      <c r="L108" s="14"/>
      <c r="M108" s="17">
        <f t="shared" si="1"/>
        <v>13182.26</v>
      </c>
      <c r="N108" s="13" t="s">
        <v>393</v>
      </c>
    </row>
    <row r="109" spans="1:14" x14ac:dyDescent="0.25">
      <c r="A109" s="1" t="s">
        <v>42</v>
      </c>
      <c r="B109" s="34" t="s">
        <v>43</v>
      </c>
      <c r="C109" s="1"/>
      <c r="D109" s="1"/>
      <c r="E109" s="1"/>
      <c r="F109" s="4">
        <v>36298.370000000003</v>
      </c>
      <c r="G109" s="2">
        <v>0</v>
      </c>
      <c r="H109" s="2">
        <v>0</v>
      </c>
      <c r="I109" s="2">
        <v>0</v>
      </c>
      <c r="J109" s="2">
        <v>-10.08</v>
      </c>
      <c r="K109" s="3">
        <v>36288.29</v>
      </c>
      <c r="L109" s="2"/>
      <c r="M109" s="9">
        <f t="shared" si="1"/>
        <v>36288.29</v>
      </c>
      <c r="N109" s="1" t="s">
        <v>400</v>
      </c>
    </row>
    <row r="110" spans="1:14" x14ac:dyDescent="0.25">
      <c r="A110" s="1" t="s">
        <v>259</v>
      </c>
      <c r="B110" s="34" t="s">
        <v>260</v>
      </c>
      <c r="C110" s="1"/>
      <c r="D110" s="1"/>
      <c r="E110" s="1"/>
      <c r="F110" s="4">
        <v>4876.1099999999997</v>
      </c>
      <c r="G110" s="2">
        <v>0</v>
      </c>
      <c r="H110" s="2">
        <v>0</v>
      </c>
      <c r="I110" s="2">
        <v>0</v>
      </c>
      <c r="J110" s="2">
        <v>0</v>
      </c>
      <c r="K110" s="3">
        <v>4876.1099999999997</v>
      </c>
      <c r="L110" s="2"/>
      <c r="M110" s="9">
        <f t="shared" si="1"/>
        <v>4876.1099999999997</v>
      </c>
      <c r="N110" s="1" t="s">
        <v>401</v>
      </c>
    </row>
    <row r="111" spans="1:14" x14ac:dyDescent="0.25">
      <c r="A111" s="13" t="s">
        <v>48</v>
      </c>
      <c r="B111" s="23" t="s">
        <v>49</v>
      </c>
      <c r="C111" s="13"/>
      <c r="D111" s="13"/>
      <c r="E111" s="13"/>
      <c r="F111" s="14">
        <v>5329.63</v>
      </c>
      <c r="G111" s="15">
        <v>701.4</v>
      </c>
      <c r="H111" s="15">
        <v>0</v>
      </c>
      <c r="I111" s="15">
        <v>0</v>
      </c>
      <c r="J111" s="15">
        <v>-12</v>
      </c>
      <c r="K111" s="16">
        <v>6019.03</v>
      </c>
      <c r="L111" s="15"/>
      <c r="M111" s="17">
        <f t="shared" si="1"/>
        <v>6019.03</v>
      </c>
      <c r="N111" s="13" t="s">
        <v>400</v>
      </c>
    </row>
    <row r="112" spans="1:14" x14ac:dyDescent="0.25">
      <c r="A112" s="1" t="s">
        <v>110</v>
      </c>
      <c r="B112" s="34" t="s">
        <v>111</v>
      </c>
      <c r="C112" s="1"/>
      <c r="D112" s="1"/>
      <c r="E112" s="1"/>
      <c r="F112" s="4">
        <v>2178.36</v>
      </c>
      <c r="G112" s="2">
        <v>0</v>
      </c>
      <c r="H112" s="2">
        <v>0</v>
      </c>
      <c r="I112" s="2">
        <v>0</v>
      </c>
      <c r="J112" s="2">
        <v>0</v>
      </c>
      <c r="K112" s="3">
        <v>2178.36</v>
      </c>
      <c r="L112" s="2"/>
      <c r="M112" s="9">
        <f t="shared" si="1"/>
        <v>2178.36</v>
      </c>
      <c r="N112" s="1" t="s">
        <v>393</v>
      </c>
    </row>
    <row r="113" spans="1:14" x14ac:dyDescent="0.25">
      <c r="A113" s="1" t="s">
        <v>50</v>
      </c>
      <c r="B113" s="34" t="s">
        <v>51</v>
      </c>
      <c r="C113" s="1"/>
      <c r="D113" s="1"/>
      <c r="E113" s="1"/>
      <c r="F113" s="4">
        <v>2749.46</v>
      </c>
      <c r="G113" s="2">
        <v>0</v>
      </c>
      <c r="H113" s="2">
        <v>0</v>
      </c>
      <c r="I113" s="2">
        <v>0</v>
      </c>
      <c r="J113" s="2">
        <v>0</v>
      </c>
      <c r="K113" s="3">
        <v>2749.46</v>
      </c>
      <c r="L113" s="2"/>
      <c r="M113" s="9">
        <f t="shared" si="1"/>
        <v>2749.46</v>
      </c>
      <c r="N113" s="1" t="s">
        <v>393</v>
      </c>
    </row>
    <row r="114" spans="1:14" x14ac:dyDescent="0.25">
      <c r="A114" s="13" t="s">
        <v>52</v>
      </c>
      <c r="B114" s="23" t="s">
        <v>53</v>
      </c>
      <c r="C114" s="13" t="s">
        <v>355</v>
      </c>
      <c r="D114" s="13" t="s">
        <v>356</v>
      </c>
      <c r="E114" s="13" t="s">
        <v>309</v>
      </c>
      <c r="F114" s="15">
        <v>0</v>
      </c>
      <c r="G114" s="15">
        <v>0</v>
      </c>
      <c r="H114" s="15">
        <v>0</v>
      </c>
      <c r="I114" s="15">
        <v>0</v>
      </c>
      <c r="J114" s="14">
        <v>6087.51</v>
      </c>
      <c r="K114" s="16">
        <v>6087.51</v>
      </c>
      <c r="L114" s="14"/>
      <c r="M114" s="17">
        <f t="shared" si="1"/>
        <v>6087.51</v>
      </c>
      <c r="N114" s="13" t="s">
        <v>393</v>
      </c>
    </row>
    <row r="115" spans="1:14" x14ac:dyDescent="0.25">
      <c r="A115" s="18" t="s">
        <v>173</v>
      </c>
      <c r="B115" s="35" t="s">
        <v>174</v>
      </c>
      <c r="C115" s="18" t="s">
        <v>357</v>
      </c>
      <c r="D115" s="18" t="s">
        <v>358</v>
      </c>
      <c r="E115" s="18" t="s">
        <v>309</v>
      </c>
      <c r="F115" s="19">
        <v>46043.66</v>
      </c>
      <c r="G115" s="19">
        <v>24467.919999999998</v>
      </c>
      <c r="H115" s="20">
        <v>0</v>
      </c>
      <c r="I115" s="20">
        <v>0</v>
      </c>
      <c r="J115" s="20">
        <v>0</v>
      </c>
      <c r="K115" s="21">
        <v>70511.58</v>
      </c>
      <c r="L115" s="20"/>
      <c r="M115" s="22">
        <f t="shared" si="1"/>
        <v>70511.58</v>
      </c>
      <c r="N115" s="18" t="s">
        <v>393</v>
      </c>
    </row>
    <row r="116" spans="1:14" x14ac:dyDescent="0.25">
      <c r="A116" s="1" t="s">
        <v>54</v>
      </c>
      <c r="B116" s="34" t="s">
        <v>55</v>
      </c>
      <c r="C116" s="1"/>
      <c r="D116" s="1"/>
      <c r="E116" s="1"/>
      <c r="F116" s="4">
        <v>1053.72</v>
      </c>
      <c r="G116" s="2">
        <v>0</v>
      </c>
      <c r="H116" s="2">
        <v>0</v>
      </c>
      <c r="I116" s="2">
        <v>0</v>
      </c>
      <c r="J116" s="2">
        <v>-12</v>
      </c>
      <c r="K116" s="3">
        <v>1041.72</v>
      </c>
      <c r="L116" s="2"/>
      <c r="M116" s="9">
        <f t="shared" si="1"/>
        <v>1041.72</v>
      </c>
      <c r="N116" s="1" t="s">
        <v>393</v>
      </c>
    </row>
    <row r="117" spans="1:14" x14ac:dyDescent="0.25">
      <c r="A117" s="13" t="s">
        <v>233</v>
      </c>
      <c r="B117" s="23" t="s">
        <v>234</v>
      </c>
      <c r="C117" s="13"/>
      <c r="D117" s="13"/>
      <c r="E117" s="13"/>
      <c r="F117" s="14">
        <v>16050.95</v>
      </c>
      <c r="G117" s="14">
        <v>2020.56</v>
      </c>
      <c r="H117" s="15">
        <v>0</v>
      </c>
      <c r="I117" s="15">
        <v>0</v>
      </c>
      <c r="J117" s="15">
        <v>0</v>
      </c>
      <c r="K117" s="16">
        <v>18071.509999999998</v>
      </c>
      <c r="L117" s="15"/>
      <c r="M117" s="17">
        <f t="shared" si="1"/>
        <v>18071.509999999998</v>
      </c>
      <c r="N117" s="13" t="s">
        <v>397</v>
      </c>
    </row>
    <row r="118" spans="1:14" x14ac:dyDescent="0.25">
      <c r="A118" s="1" t="s">
        <v>28</v>
      </c>
      <c r="B118" s="34" t="s">
        <v>29</v>
      </c>
      <c r="C118" s="1"/>
      <c r="D118" s="1"/>
      <c r="E118" s="1"/>
      <c r="F118" s="4">
        <v>6935.76</v>
      </c>
      <c r="G118" s="2">
        <v>0</v>
      </c>
      <c r="H118" s="2">
        <v>0</v>
      </c>
      <c r="I118" s="2">
        <v>0</v>
      </c>
      <c r="J118" s="2">
        <v>0</v>
      </c>
      <c r="K118" s="3">
        <v>6935.76</v>
      </c>
      <c r="L118" s="2"/>
      <c r="M118" s="9">
        <f t="shared" si="1"/>
        <v>6935.76</v>
      </c>
      <c r="N118" s="1" t="s">
        <v>393</v>
      </c>
    </row>
    <row r="119" spans="1:14" x14ac:dyDescent="0.25">
      <c r="A119" s="1" t="s">
        <v>158</v>
      </c>
      <c r="B119" s="34" t="s">
        <v>159</v>
      </c>
      <c r="C119" s="1"/>
      <c r="D119" s="1"/>
      <c r="E119" s="1"/>
      <c r="F119" s="4">
        <v>49821.36</v>
      </c>
      <c r="G119" s="2">
        <v>0</v>
      </c>
      <c r="H119" s="2">
        <v>0</v>
      </c>
      <c r="I119" s="2">
        <v>0</v>
      </c>
      <c r="J119" s="2">
        <v>0</v>
      </c>
      <c r="K119" s="3">
        <v>49821.36</v>
      </c>
      <c r="L119" s="2"/>
      <c r="M119" s="9">
        <f t="shared" si="1"/>
        <v>49821.36</v>
      </c>
      <c r="N119" s="1" t="s">
        <v>393</v>
      </c>
    </row>
    <row r="120" spans="1:14" x14ac:dyDescent="0.25">
      <c r="A120" s="1" t="s">
        <v>58</v>
      </c>
      <c r="B120" s="34" t="s">
        <v>59</v>
      </c>
      <c r="C120" s="1"/>
      <c r="D120" s="1"/>
      <c r="E120" s="1"/>
      <c r="F120" s="4">
        <v>2418.77</v>
      </c>
      <c r="G120" s="2">
        <v>0</v>
      </c>
      <c r="H120" s="2">
        <v>0</v>
      </c>
      <c r="I120" s="2">
        <v>0</v>
      </c>
      <c r="J120" s="2">
        <v>-31.54</v>
      </c>
      <c r="K120" s="3">
        <v>2387.23</v>
      </c>
      <c r="L120" s="2"/>
      <c r="M120" s="9">
        <f t="shared" si="1"/>
        <v>2387.23</v>
      </c>
      <c r="N120" s="1" t="s">
        <v>393</v>
      </c>
    </row>
    <row r="121" spans="1:14" x14ac:dyDescent="0.25">
      <c r="A121" s="1" t="s">
        <v>185</v>
      </c>
      <c r="B121" s="34" t="s">
        <v>186</v>
      </c>
      <c r="C121" s="1"/>
      <c r="D121" s="1"/>
      <c r="E121" s="1"/>
      <c r="F121" s="4">
        <v>3486.24</v>
      </c>
      <c r="G121" s="2">
        <v>0</v>
      </c>
      <c r="H121" s="2">
        <v>0</v>
      </c>
      <c r="I121" s="2">
        <v>0</v>
      </c>
      <c r="J121" s="2">
        <v>0</v>
      </c>
      <c r="K121" s="3">
        <v>3486.24</v>
      </c>
      <c r="L121" s="2"/>
      <c r="M121" s="9">
        <f t="shared" si="1"/>
        <v>3486.24</v>
      </c>
      <c r="N121" s="1" t="s">
        <v>393</v>
      </c>
    </row>
    <row r="122" spans="1:14" x14ac:dyDescent="0.25">
      <c r="A122" s="1" t="s">
        <v>60</v>
      </c>
      <c r="B122" s="34" t="s">
        <v>61</v>
      </c>
      <c r="C122" s="1"/>
      <c r="D122" s="1"/>
      <c r="E122" s="1"/>
      <c r="F122" s="4">
        <v>39413.160000000003</v>
      </c>
      <c r="G122" s="2">
        <v>0</v>
      </c>
      <c r="H122" s="2">
        <v>0</v>
      </c>
      <c r="I122" s="2">
        <v>0</v>
      </c>
      <c r="J122" s="2">
        <v>0</v>
      </c>
      <c r="K122" s="3">
        <v>39413.160000000003</v>
      </c>
      <c r="L122" s="2"/>
      <c r="M122" s="9">
        <f t="shared" si="1"/>
        <v>39413.160000000003</v>
      </c>
      <c r="N122" s="1" t="s">
        <v>393</v>
      </c>
    </row>
    <row r="123" spans="1:14" x14ac:dyDescent="0.25">
      <c r="A123" s="13" t="s">
        <v>162</v>
      </c>
      <c r="B123" s="23" t="s">
        <v>163</v>
      </c>
      <c r="C123" s="13" t="s">
        <v>359</v>
      </c>
      <c r="D123" s="13" t="s">
        <v>360</v>
      </c>
      <c r="E123" s="13" t="s">
        <v>309</v>
      </c>
      <c r="F123" s="14">
        <v>57100.09</v>
      </c>
      <c r="G123" s="14">
        <v>10048.92</v>
      </c>
      <c r="H123" s="15">
        <v>0</v>
      </c>
      <c r="I123" s="15">
        <v>0</v>
      </c>
      <c r="J123" s="15">
        <v>0</v>
      </c>
      <c r="K123" s="16">
        <v>67149.009999999995</v>
      </c>
      <c r="L123" s="15"/>
      <c r="M123" s="17">
        <f t="shared" si="1"/>
        <v>67149.009999999995</v>
      </c>
      <c r="N123" s="13" t="s">
        <v>393</v>
      </c>
    </row>
    <row r="124" spans="1:14" x14ac:dyDescent="0.25">
      <c r="A124" s="1" t="s">
        <v>62</v>
      </c>
      <c r="B124" s="34" t="s">
        <v>63</v>
      </c>
      <c r="C124" s="1"/>
      <c r="D124" s="1"/>
      <c r="E124" s="1"/>
      <c r="F124" s="4">
        <v>9313.82</v>
      </c>
      <c r="G124" s="2">
        <v>0</v>
      </c>
      <c r="H124" s="2">
        <v>0</v>
      </c>
      <c r="I124" s="2">
        <v>0</v>
      </c>
      <c r="J124" s="2">
        <v>0</v>
      </c>
      <c r="K124" s="3">
        <v>9313.82</v>
      </c>
      <c r="L124" s="2"/>
      <c r="M124" s="9">
        <f t="shared" si="1"/>
        <v>9313.82</v>
      </c>
      <c r="N124" s="1" t="s">
        <v>393</v>
      </c>
    </row>
    <row r="125" spans="1:14" x14ac:dyDescent="0.25">
      <c r="A125" s="1" t="s">
        <v>134</v>
      </c>
      <c r="B125" s="34" t="s">
        <v>135</v>
      </c>
      <c r="C125" s="1"/>
      <c r="D125" s="1"/>
      <c r="E125" s="1"/>
      <c r="F125" s="4">
        <v>1036.6199999999999</v>
      </c>
      <c r="G125" s="2">
        <v>0</v>
      </c>
      <c r="H125" s="2">
        <v>0</v>
      </c>
      <c r="I125" s="2">
        <v>0</v>
      </c>
      <c r="J125" s="2">
        <v>0</v>
      </c>
      <c r="K125" s="3">
        <v>1036.6199999999999</v>
      </c>
      <c r="L125" s="2"/>
      <c r="M125" s="9">
        <f t="shared" si="1"/>
        <v>1036.6199999999999</v>
      </c>
      <c r="N125" s="1" t="s">
        <v>393</v>
      </c>
    </row>
    <row r="126" spans="1:14" x14ac:dyDescent="0.25">
      <c r="A126" s="1" t="s">
        <v>64</v>
      </c>
      <c r="B126" s="34" t="s">
        <v>65</v>
      </c>
      <c r="C126" s="1"/>
      <c r="D126" s="1"/>
      <c r="E126" s="1"/>
      <c r="F126" s="4">
        <v>4410.12</v>
      </c>
      <c r="G126" s="2">
        <v>0</v>
      </c>
      <c r="H126" s="2">
        <v>-40.200000000000003</v>
      </c>
      <c r="I126" s="2">
        <v>0</v>
      </c>
      <c r="J126" s="2">
        <v>-130.80000000000001</v>
      </c>
      <c r="K126" s="3">
        <v>4239.12</v>
      </c>
      <c r="L126" s="2"/>
      <c r="M126" s="9">
        <f t="shared" si="1"/>
        <v>4239.12</v>
      </c>
      <c r="N126" s="1" t="s">
        <v>402</v>
      </c>
    </row>
    <row r="127" spans="1:14" x14ac:dyDescent="0.25">
      <c r="A127" s="1" t="s">
        <v>179</v>
      </c>
      <c r="B127" s="34" t="s">
        <v>180</v>
      </c>
      <c r="C127" s="1"/>
      <c r="D127" s="1"/>
      <c r="E127" s="1"/>
      <c r="F127" s="4">
        <v>2722.99</v>
      </c>
      <c r="G127" s="2">
        <v>0</v>
      </c>
      <c r="H127" s="2">
        <v>0</v>
      </c>
      <c r="I127" s="2">
        <v>0</v>
      </c>
      <c r="J127" s="2">
        <v>0</v>
      </c>
      <c r="K127" s="3">
        <v>2722.99</v>
      </c>
      <c r="L127" s="2"/>
      <c r="M127" s="9">
        <f t="shared" si="1"/>
        <v>2722.99</v>
      </c>
      <c r="N127" s="1" t="s">
        <v>393</v>
      </c>
    </row>
    <row r="128" spans="1:14" x14ac:dyDescent="0.25">
      <c r="A128" s="13" t="s">
        <v>114</v>
      </c>
      <c r="B128" s="23" t="s">
        <v>115</v>
      </c>
      <c r="C128" s="13" t="s">
        <v>361</v>
      </c>
      <c r="D128" s="13" t="s">
        <v>362</v>
      </c>
      <c r="E128" s="13" t="s">
        <v>318</v>
      </c>
      <c r="F128" s="14">
        <v>64152.21</v>
      </c>
      <c r="G128" s="14">
        <v>3717.84</v>
      </c>
      <c r="H128" s="15">
        <v>0</v>
      </c>
      <c r="I128" s="15">
        <v>0</v>
      </c>
      <c r="J128" s="15">
        <v>-97.51</v>
      </c>
      <c r="K128" s="16">
        <v>67772.539999999994</v>
      </c>
      <c r="L128" s="15"/>
      <c r="M128" s="17">
        <f t="shared" si="1"/>
        <v>67772.539999999994</v>
      </c>
      <c r="N128" s="13" t="s">
        <v>393</v>
      </c>
    </row>
    <row r="129" spans="1:14" x14ac:dyDescent="0.25">
      <c r="A129" s="1" t="s">
        <v>128</v>
      </c>
      <c r="B129" s="34" t="s">
        <v>129</v>
      </c>
      <c r="C129" s="1"/>
      <c r="D129" s="1"/>
      <c r="E129" s="1"/>
      <c r="F129" s="4">
        <v>1800</v>
      </c>
      <c r="G129" s="2">
        <v>0</v>
      </c>
      <c r="H129" s="2">
        <v>0</v>
      </c>
      <c r="I129" s="2">
        <v>0</v>
      </c>
      <c r="J129" s="2">
        <v>0</v>
      </c>
      <c r="K129" s="3">
        <v>1800</v>
      </c>
      <c r="L129" s="2"/>
      <c r="M129" s="9">
        <f t="shared" si="1"/>
        <v>1800</v>
      </c>
      <c r="N129" s="1" t="s">
        <v>393</v>
      </c>
    </row>
    <row r="130" spans="1:14" x14ac:dyDescent="0.25">
      <c r="A130" s="1" t="s">
        <v>156</v>
      </c>
      <c r="B130" s="34" t="s">
        <v>157</v>
      </c>
      <c r="C130" s="1"/>
      <c r="D130" s="1"/>
      <c r="E130" s="1"/>
      <c r="F130" s="4">
        <v>2927.28</v>
      </c>
      <c r="G130" s="2">
        <v>0</v>
      </c>
      <c r="H130" s="2">
        <v>0</v>
      </c>
      <c r="I130" s="2">
        <v>0</v>
      </c>
      <c r="J130" s="2">
        <v>0</v>
      </c>
      <c r="K130" s="3">
        <v>2927.28</v>
      </c>
      <c r="L130" s="2"/>
      <c r="M130" s="9">
        <f t="shared" si="1"/>
        <v>2927.28</v>
      </c>
      <c r="N130" s="1" t="s">
        <v>393</v>
      </c>
    </row>
    <row r="131" spans="1:14" x14ac:dyDescent="0.25">
      <c r="A131" s="1" t="s">
        <v>189</v>
      </c>
      <c r="B131" s="34" t="s">
        <v>190</v>
      </c>
      <c r="C131" s="1"/>
      <c r="D131" s="1"/>
      <c r="E131" s="1"/>
      <c r="F131" s="4">
        <v>42325.86</v>
      </c>
      <c r="G131" s="2">
        <v>0</v>
      </c>
      <c r="H131" s="2">
        <v>0</v>
      </c>
      <c r="I131" s="2">
        <v>0</v>
      </c>
      <c r="J131" s="2">
        <v>0</v>
      </c>
      <c r="K131" s="3">
        <v>42325.86</v>
      </c>
      <c r="L131" s="2"/>
      <c r="M131" s="9">
        <f t="shared" si="1"/>
        <v>42325.86</v>
      </c>
      <c r="N131" s="1" t="s">
        <v>393</v>
      </c>
    </row>
    <row r="132" spans="1:14" x14ac:dyDescent="0.25">
      <c r="A132" s="1" t="s">
        <v>294</v>
      </c>
      <c r="B132" s="34" t="s">
        <v>295</v>
      </c>
      <c r="C132" s="1"/>
      <c r="D132" s="1"/>
      <c r="E132" s="1"/>
      <c r="F132" s="4">
        <v>51103.46</v>
      </c>
      <c r="G132" s="2">
        <v>0</v>
      </c>
      <c r="H132" s="2">
        <v>0</v>
      </c>
      <c r="I132" s="2">
        <v>0</v>
      </c>
      <c r="J132" s="2">
        <v>0</v>
      </c>
      <c r="K132" s="3">
        <v>51103.46</v>
      </c>
      <c r="L132" s="2"/>
      <c r="M132" s="9">
        <f t="shared" si="1"/>
        <v>51103.46</v>
      </c>
      <c r="N132" s="1">
        <v>0</v>
      </c>
    </row>
    <row r="133" spans="1:14" x14ac:dyDescent="0.25">
      <c r="A133" s="1" t="s">
        <v>237</v>
      </c>
      <c r="B133" s="34" t="s">
        <v>238</v>
      </c>
      <c r="C133" s="1"/>
      <c r="D133" s="1"/>
      <c r="E133" s="1"/>
      <c r="F133" s="4">
        <v>1617.78</v>
      </c>
      <c r="G133" s="2">
        <v>0</v>
      </c>
      <c r="H133" s="2">
        <v>0</v>
      </c>
      <c r="I133" s="2">
        <v>0</v>
      </c>
      <c r="J133" s="2">
        <v>0</v>
      </c>
      <c r="K133" s="3">
        <v>1617.78</v>
      </c>
      <c r="L133" s="2"/>
      <c r="M133" s="9">
        <f t="shared" si="1"/>
        <v>1617.78</v>
      </c>
      <c r="N133" s="1" t="s">
        <v>394</v>
      </c>
    </row>
    <row r="134" spans="1:14" x14ac:dyDescent="0.25">
      <c r="A134" s="13" t="s">
        <v>205</v>
      </c>
      <c r="B134" s="23" t="s">
        <v>206</v>
      </c>
      <c r="C134" s="13" t="s">
        <v>363</v>
      </c>
      <c r="D134" s="13" t="s">
        <v>364</v>
      </c>
      <c r="E134" s="13" t="s">
        <v>309</v>
      </c>
      <c r="F134" s="14">
        <v>13103.94</v>
      </c>
      <c r="G134" s="14">
        <v>6565.2</v>
      </c>
      <c r="H134" s="15">
        <v>0</v>
      </c>
      <c r="I134" s="15">
        <v>0</v>
      </c>
      <c r="J134" s="15">
        <v>0</v>
      </c>
      <c r="K134" s="16">
        <v>19669.14</v>
      </c>
      <c r="L134" s="15"/>
      <c r="M134" s="17">
        <f t="shared" si="1"/>
        <v>19669.14</v>
      </c>
      <c r="N134" s="13" t="s">
        <v>397</v>
      </c>
    </row>
    <row r="135" spans="1:14" x14ac:dyDescent="0.25">
      <c r="A135" s="1" t="s">
        <v>241</v>
      </c>
      <c r="B135" s="34" t="s">
        <v>242</v>
      </c>
      <c r="C135" s="1"/>
      <c r="D135" s="1"/>
      <c r="E135" s="1"/>
      <c r="F135" s="4">
        <v>32051.5</v>
      </c>
      <c r="G135" s="2">
        <v>0</v>
      </c>
      <c r="H135" s="2">
        <v>0</v>
      </c>
      <c r="I135" s="2">
        <v>0</v>
      </c>
      <c r="J135" s="2">
        <v>0</v>
      </c>
      <c r="K135" s="3">
        <v>32051.5</v>
      </c>
      <c r="L135" s="2"/>
      <c r="M135" s="9">
        <f t="shared" si="1"/>
        <v>32051.5</v>
      </c>
      <c r="N135" s="1" t="s">
        <v>393</v>
      </c>
    </row>
    <row r="136" spans="1:14" x14ac:dyDescent="0.25">
      <c r="A136" s="1" t="s">
        <v>229</v>
      </c>
      <c r="B136" s="34" t="s">
        <v>230</v>
      </c>
      <c r="C136" s="1"/>
      <c r="D136" s="1"/>
      <c r="E136" s="1"/>
      <c r="F136" s="4">
        <v>38452.03</v>
      </c>
      <c r="G136" s="2">
        <v>0</v>
      </c>
      <c r="H136" s="2">
        <v>0</v>
      </c>
      <c r="I136" s="2">
        <v>0</v>
      </c>
      <c r="J136" s="2">
        <v>0</v>
      </c>
      <c r="K136" s="3">
        <v>38452.03</v>
      </c>
      <c r="L136" s="2"/>
      <c r="M136" s="9">
        <f t="shared" si="1"/>
        <v>38452.03</v>
      </c>
      <c r="N136" s="1" t="s">
        <v>398</v>
      </c>
    </row>
    <row r="137" spans="1:14" x14ac:dyDescent="0.25">
      <c r="A137" s="1" t="s">
        <v>187</v>
      </c>
      <c r="B137" s="34" t="s">
        <v>188</v>
      </c>
      <c r="C137" s="1" t="s">
        <v>365</v>
      </c>
      <c r="D137" s="1" t="s">
        <v>366</v>
      </c>
      <c r="E137" s="1" t="s">
        <v>309</v>
      </c>
      <c r="F137" s="4">
        <v>12798.84</v>
      </c>
      <c r="G137" s="2">
        <v>0</v>
      </c>
      <c r="H137" s="2">
        <v>0</v>
      </c>
      <c r="I137" s="2">
        <v>0</v>
      </c>
      <c r="J137" s="2">
        <v>0</v>
      </c>
      <c r="K137" s="3">
        <v>12798.84</v>
      </c>
      <c r="L137" s="2"/>
      <c r="M137" s="9">
        <f t="shared" si="1"/>
        <v>12798.84</v>
      </c>
      <c r="N137" s="1" t="s">
        <v>403</v>
      </c>
    </row>
    <row r="138" spans="1:14" x14ac:dyDescent="0.25">
      <c r="A138" s="51" t="s">
        <v>78</v>
      </c>
      <c r="B138" s="28" t="s">
        <v>79</v>
      </c>
      <c r="C138" s="51" t="s">
        <v>367</v>
      </c>
      <c r="D138" s="51" t="s">
        <v>368</v>
      </c>
      <c r="E138" s="51" t="s">
        <v>309</v>
      </c>
      <c r="F138" s="52">
        <v>89218.73</v>
      </c>
      <c r="G138" s="52">
        <v>0</v>
      </c>
      <c r="H138" s="53">
        <v>0</v>
      </c>
      <c r="I138" s="53">
        <v>0</v>
      </c>
      <c r="J138" s="53">
        <v>0</v>
      </c>
      <c r="K138" s="54">
        <v>89218.73</v>
      </c>
      <c r="L138" s="53"/>
      <c r="M138" s="55">
        <f t="shared" si="1"/>
        <v>89218.73</v>
      </c>
      <c r="N138" s="51" t="s">
        <v>393</v>
      </c>
    </row>
    <row r="139" spans="1:14" x14ac:dyDescent="0.25">
      <c r="A139" s="51" t="s">
        <v>76</v>
      </c>
      <c r="B139" s="28" t="s">
        <v>77</v>
      </c>
      <c r="C139" s="51"/>
      <c r="D139" s="51"/>
      <c r="E139" s="51"/>
      <c r="F139" s="52">
        <v>19279.099999999999</v>
      </c>
      <c r="G139" s="53">
        <v>0</v>
      </c>
      <c r="H139" s="53">
        <v>0</v>
      </c>
      <c r="I139" s="53">
        <v>0</v>
      </c>
      <c r="J139" s="53">
        <v>0</v>
      </c>
      <c r="K139" s="54">
        <v>19279.099999999999</v>
      </c>
      <c r="L139" s="53"/>
      <c r="M139" s="55">
        <f t="shared" si="1"/>
        <v>19279.099999999999</v>
      </c>
      <c r="N139" s="51" t="s">
        <v>393</v>
      </c>
    </row>
    <row r="140" spans="1:14" x14ac:dyDescent="0.25">
      <c r="A140" s="1" t="s">
        <v>56</v>
      </c>
      <c r="B140" s="34" t="s">
        <v>57</v>
      </c>
      <c r="C140" s="1"/>
      <c r="D140" s="1"/>
      <c r="E140" s="1"/>
      <c r="F140" s="4">
        <v>1688.77</v>
      </c>
      <c r="G140" s="2">
        <v>0</v>
      </c>
      <c r="H140" s="2">
        <v>0</v>
      </c>
      <c r="I140" s="2">
        <v>0</v>
      </c>
      <c r="J140" s="2">
        <v>0</v>
      </c>
      <c r="K140" s="3">
        <v>1688.77</v>
      </c>
      <c r="L140" s="2"/>
      <c r="M140" s="9">
        <f t="shared" si="1"/>
        <v>1688.77</v>
      </c>
      <c r="N140" s="1" t="s">
        <v>393</v>
      </c>
    </row>
    <row r="141" spans="1:14" x14ac:dyDescent="0.25">
      <c r="A141" s="1" t="s">
        <v>142</v>
      </c>
      <c r="B141" s="34" t="s">
        <v>143</v>
      </c>
      <c r="C141" s="1"/>
      <c r="D141" s="1"/>
      <c r="E141" s="1"/>
      <c r="F141" s="4">
        <v>13291.87</v>
      </c>
      <c r="G141" s="2">
        <v>0</v>
      </c>
      <c r="H141" s="2">
        <v>0</v>
      </c>
      <c r="I141" s="2">
        <v>0</v>
      </c>
      <c r="J141" s="2">
        <v>0</v>
      </c>
      <c r="K141" s="3">
        <v>13291.87</v>
      </c>
      <c r="L141" s="2"/>
      <c r="M141" s="9">
        <f t="shared" si="1"/>
        <v>13291.87</v>
      </c>
      <c r="N141" s="1" t="s">
        <v>393</v>
      </c>
    </row>
    <row r="142" spans="1:14" x14ac:dyDescent="0.25">
      <c r="A142" s="13" t="s">
        <v>80</v>
      </c>
      <c r="B142" s="23" t="s">
        <v>81</v>
      </c>
      <c r="C142" s="13" t="s">
        <v>369</v>
      </c>
      <c r="D142" s="13" t="s">
        <v>370</v>
      </c>
      <c r="E142" s="13" t="s">
        <v>309</v>
      </c>
      <c r="F142" s="15">
        <v>0</v>
      </c>
      <c r="G142" s="15">
        <v>0</v>
      </c>
      <c r="H142" s="15">
        <v>0</v>
      </c>
      <c r="I142" s="15">
        <v>0</v>
      </c>
      <c r="J142" s="14">
        <v>2197.91</v>
      </c>
      <c r="K142" s="16">
        <v>2197.91</v>
      </c>
      <c r="L142" s="14"/>
      <c r="M142" s="17">
        <f t="shared" si="1"/>
        <v>2197.91</v>
      </c>
      <c r="N142" s="13" t="s">
        <v>393</v>
      </c>
    </row>
    <row r="143" spans="1:14" x14ac:dyDescent="0.25">
      <c r="A143" s="1" t="s">
        <v>154</v>
      </c>
      <c r="B143" s="34" t="s">
        <v>155</v>
      </c>
      <c r="C143" s="1"/>
      <c r="D143" s="1"/>
      <c r="E143" s="1"/>
      <c r="F143" s="4">
        <v>7314.84</v>
      </c>
      <c r="G143" s="2">
        <v>0</v>
      </c>
      <c r="H143" s="2">
        <v>0</v>
      </c>
      <c r="I143" s="2">
        <v>0</v>
      </c>
      <c r="J143" s="2">
        <v>-13</v>
      </c>
      <c r="K143" s="3">
        <v>7301.84</v>
      </c>
      <c r="L143" s="2"/>
      <c r="M143" s="9">
        <f t="shared" si="1"/>
        <v>7301.84</v>
      </c>
      <c r="N143" s="1" t="s">
        <v>399</v>
      </c>
    </row>
    <row r="144" spans="1:14" x14ac:dyDescent="0.25">
      <c r="A144" s="1" t="s">
        <v>168</v>
      </c>
      <c r="B144" s="34" t="s">
        <v>155</v>
      </c>
      <c r="C144" s="1" t="s">
        <v>371</v>
      </c>
      <c r="D144" s="1" t="s">
        <v>372</v>
      </c>
      <c r="E144" s="1" t="s">
        <v>309</v>
      </c>
      <c r="F144" s="4">
        <v>4555.6400000000003</v>
      </c>
      <c r="G144" s="2">
        <v>-6.36</v>
      </c>
      <c r="H144" s="2">
        <v>0</v>
      </c>
      <c r="I144" s="2">
        <v>0</v>
      </c>
      <c r="J144" s="2">
        <v>0</v>
      </c>
      <c r="K144" s="3">
        <v>4549.28</v>
      </c>
      <c r="L144" s="2"/>
      <c r="M144" s="9">
        <f t="shared" si="1"/>
        <v>4549.28</v>
      </c>
      <c r="N144" s="1" t="s">
        <v>399</v>
      </c>
    </row>
    <row r="145" spans="1:14" x14ac:dyDescent="0.25">
      <c r="A145" s="1" t="s">
        <v>150</v>
      </c>
      <c r="B145" s="34" t="s">
        <v>151</v>
      </c>
      <c r="C145" s="1"/>
      <c r="D145" s="1"/>
      <c r="E145" s="1"/>
      <c r="F145" s="4">
        <v>2914.26</v>
      </c>
      <c r="G145" s="2">
        <v>0</v>
      </c>
      <c r="H145" s="2">
        <v>0</v>
      </c>
      <c r="I145" s="2">
        <v>0</v>
      </c>
      <c r="J145" s="2">
        <v>0</v>
      </c>
      <c r="K145" s="3">
        <v>2914.26</v>
      </c>
      <c r="L145" s="2"/>
      <c r="M145" s="9">
        <f t="shared" si="1"/>
        <v>2914.26</v>
      </c>
      <c r="N145" s="1" t="s">
        <v>393</v>
      </c>
    </row>
    <row r="146" spans="1:14" x14ac:dyDescent="0.25">
      <c r="A146" s="1" t="s">
        <v>118</v>
      </c>
      <c r="B146" s="34" t="s">
        <v>119</v>
      </c>
      <c r="C146" s="1" t="s">
        <v>369</v>
      </c>
      <c r="D146" s="1" t="s">
        <v>373</v>
      </c>
      <c r="E146" s="1" t="s">
        <v>309</v>
      </c>
      <c r="F146" s="4">
        <v>16489.12</v>
      </c>
      <c r="G146" s="2">
        <v>0</v>
      </c>
      <c r="H146" s="2">
        <v>0</v>
      </c>
      <c r="I146" s="2">
        <v>0</v>
      </c>
      <c r="J146" s="2">
        <v>0</v>
      </c>
      <c r="K146" s="3">
        <v>16489.12</v>
      </c>
      <c r="L146" s="2"/>
      <c r="M146" s="9">
        <f t="shared" si="1"/>
        <v>16489.12</v>
      </c>
      <c r="N146" s="1" t="s">
        <v>393</v>
      </c>
    </row>
    <row r="147" spans="1:14" x14ac:dyDescent="0.25">
      <c r="A147" s="1" t="s">
        <v>82</v>
      </c>
      <c r="B147" s="34" t="s">
        <v>83</v>
      </c>
      <c r="C147" s="1"/>
      <c r="D147" s="1"/>
      <c r="E147" s="1"/>
      <c r="F147" s="4">
        <v>43517.59</v>
      </c>
      <c r="G147" s="2">
        <v>0</v>
      </c>
      <c r="H147" s="2">
        <v>0</v>
      </c>
      <c r="I147" s="2">
        <v>0</v>
      </c>
      <c r="J147" s="2">
        <v>0</v>
      </c>
      <c r="K147" s="3">
        <v>43517.59</v>
      </c>
      <c r="L147" s="2"/>
      <c r="M147" s="9">
        <f t="shared" si="1"/>
        <v>43517.59</v>
      </c>
      <c r="N147" s="1" t="s">
        <v>393</v>
      </c>
    </row>
    <row r="148" spans="1:14" x14ac:dyDescent="0.25">
      <c r="A148" s="1" t="s">
        <v>84</v>
      </c>
      <c r="B148" s="34" t="s">
        <v>85</v>
      </c>
      <c r="C148" s="1"/>
      <c r="D148" s="1"/>
      <c r="E148" s="1"/>
      <c r="F148" s="4">
        <v>96981.63</v>
      </c>
      <c r="G148" s="2">
        <v>0</v>
      </c>
      <c r="H148" s="2">
        <v>0</v>
      </c>
      <c r="I148" s="2">
        <v>0</v>
      </c>
      <c r="J148" s="2">
        <v>0</v>
      </c>
      <c r="K148" s="3">
        <v>96981.63</v>
      </c>
      <c r="L148" s="2"/>
      <c r="M148" s="9">
        <f t="shared" si="1"/>
        <v>96981.63</v>
      </c>
      <c r="N148" s="1" t="s">
        <v>401</v>
      </c>
    </row>
    <row r="149" spans="1:14" x14ac:dyDescent="0.25">
      <c r="A149" s="1" t="s">
        <v>171</v>
      </c>
      <c r="B149" s="34" t="s">
        <v>172</v>
      </c>
      <c r="C149" s="1"/>
      <c r="D149" s="1"/>
      <c r="E149" s="1"/>
      <c r="F149" s="4">
        <v>6325.9</v>
      </c>
      <c r="G149" s="2">
        <v>-817.32</v>
      </c>
      <c r="H149" s="2">
        <v>-144</v>
      </c>
      <c r="I149" s="2">
        <v>0</v>
      </c>
      <c r="J149" s="2">
        <v>0</v>
      </c>
      <c r="K149" s="3">
        <v>5364.58</v>
      </c>
      <c r="L149" s="2"/>
      <c r="M149" s="9">
        <f t="shared" si="1"/>
        <v>5364.58</v>
      </c>
      <c r="N149" s="1" t="s">
        <v>393</v>
      </c>
    </row>
    <row r="150" spans="1:14" x14ac:dyDescent="0.25">
      <c r="A150" s="13" t="s">
        <v>169</v>
      </c>
      <c r="B150" s="23" t="s">
        <v>170</v>
      </c>
      <c r="C150" s="13" t="s">
        <v>367</v>
      </c>
      <c r="D150" s="13" t="s">
        <v>374</v>
      </c>
      <c r="E150" s="13" t="s">
        <v>309</v>
      </c>
      <c r="F150" s="14">
        <v>130994.76</v>
      </c>
      <c r="G150" s="14">
        <v>2351.04</v>
      </c>
      <c r="H150" s="15">
        <v>0</v>
      </c>
      <c r="I150" s="15">
        <v>0</v>
      </c>
      <c r="J150" s="15">
        <v>0</v>
      </c>
      <c r="K150" s="16">
        <v>133345.79999999999</v>
      </c>
      <c r="L150" s="15"/>
      <c r="M150" s="17">
        <f t="shared" si="1"/>
        <v>133345.79999999999</v>
      </c>
      <c r="N150" s="13" t="s">
        <v>393</v>
      </c>
    </row>
    <row r="151" spans="1:14" x14ac:dyDescent="0.25">
      <c r="A151" s="1" t="s">
        <v>197</v>
      </c>
      <c r="B151" s="34" t="s">
        <v>198</v>
      </c>
      <c r="C151" s="1"/>
      <c r="D151" s="1"/>
      <c r="E151" s="1"/>
      <c r="F151" s="4">
        <v>4447.6099999999997</v>
      </c>
      <c r="G151" s="2">
        <v>0</v>
      </c>
      <c r="H151" s="2">
        <v>0</v>
      </c>
      <c r="I151" s="2">
        <v>0</v>
      </c>
      <c r="J151" s="2">
        <v>0</v>
      </c>
      <c r="K151" s="3">
        <v>4447.6099999999997</v>
      </c>
      <c r="L151" s="2"/>
      <c r="M151" s="9">
        <f t="shared" si="1"/>
        <v>4447.6099999999997</v>
      </c>
      <c r="N151" s="1" t="s">
        <v>393</v>
      </c>
    </row>
    <row r="152" spans="1:14" x14ac:dyDescent="0.25">
      <c r="A152" s="1" t="s">
        <v>122</v>
      </c>
      <c r="B152" s="34" t="s">
        <v>123</v>
      </c>
      <c r="C152" s="1" t="s">
        <v>375</v>
      </c>
      <c r="D152" s="1" t="s">
        <v>376</v>
      </c>
      <c r="E152" s="1" t="s">
        <v>343</v>
      </c>
      <c r="F152" s="4">
        <v>44468.98</v>
      </c>
      <c r="G152" s="4">
        <v>44358.42</v>
      </c>
      <c r="H152" s="2">
        <v>0</v>
      </c>
      <c r="I152" s="2">
        <v>0</v>
      </c>
      <c r="J152" s="2">
        <v>0</v>
      </c>
      <c r="K152" s="3">
        <v>88827.4</v>
      </c>
      <c r="L152" s="2"/>
      <c r="M152" s="9">
        <f t="shared" si="1"/>
        <v>88827.4</v>
      </c>
      <c r="N152" s="1" t="s">
        <v>393</v>
      </c>
    </row>
    <row r="153" spans="1:14" x14ac:dyDescent="0.25">
      <c r="A153" s="1" t="s">
        <v>86</v>
      </c>
      <c r="B153" s="34" t="s">
        <v>87</v>
      </c>
      <c r="C153" s="1"/>
      <c r="D153" s="1"/>
      <c r="E153" s="1"/>
      <c r="F153" s="4">
        <v>9504</v>
      </c>
      <c r="G153" s="2">
        <v>0</v>
      </c>
      <c r="H153" s="2">
        <v>0</v>
      </c>
      <c r="I153" s="2">
        <v>0</v>
      </c>
      <c r="J153" s="2">
        <v>0</v>
      </c>
      <c r="K153" s="3">
        <v>9504</v>
      </c>
      <c r="L153" s="2"/>
      <c r="M153" s="9">
        <f t="shared" si="1"/>
        <v>9504</v>
      </c>
      <c r="N153" s="1" t="s">
        <v>393</v>
      </c>
    </row>
    <row r="154" spans="1:14" x14ac:dyDescent="0.25">
      <c r="A154" s="1" t="s">
        <v>70</v>
      </c>
      <c r="B154" s="34" t="s">
        <v>71</v>
      </c>
      <c r="C154" s="1"/>
      <c r="D154" s="1"/>
      <c r="E154" s="1"/>
      <c r="F154" s="4">
        <v>14282.88</v>
      </c>
      <c r="G154" s="2">
        <v>-66.48</v>
      </c>
      <c r="H154" s="2">
        <v>0</v>
      </c>
      <c r="I154" s="2">
        <v>0</v>
      </c>
      <c r="J154" s="2">
        <v>0</v>
      </c>
      <c r="K154" s="3">
        <v>14216.4</v>
      </c>
      <c r="L154" s="2"/>
      <c r="M154" s="9">
        <f t="shared" si="1"/>
        <v>14216.4</v>
      </c>
      <c r="N154" s="1" t="s">
        <v>393</v>
      </c>
    </row>
    <row r="155" spans="1:14" x14ac:dyDescent="0.25">
      <c r="A155" s="13" t="s">
        <v>116</v>
      </c>
      <c r="B155" s="23" t="s">
        <v>117</v>
      </c>
      <c r="C155" s="13" t="s">
        <v>377</v>
      </c>
      <c r="D155" s="13" t="s">
        <v>378</v>
      </c>
      <c r="E155" s="13" t="s">
        <v>309</v>
      </c>
      <c r="F155" s="14">
        <v>4653.66</v>
      </c>
      <c r="G155" s="14">
        <v>3604.08</v>
      </c>
      <c r="H155" s="15">
        <v>0</v>
      </c>
      <c r="I155" s="15">
        <v>0</v>
      </c>
      <c r="J155" s="15">
        <v>0</v>
      </c>
      <c r="K155" s="16">
        <v>8257.74</v>
      </c>
      <c r="L155" s="15"/>
      <c r="M155" s="17">
        <f t="shared" si="1"/>
        <v>8257.74</v>
      </c>
      <c r="N155" s="13" t="s">
        <v>393</v>
      </c>
    </row>
    <row r="156" spans="1:14" x14ac:dyDescent="0.25">
      <c r="A156" s="1" t="s">
        <v>92</v>
      </c>
      <c r="B156" s="34" t="s">
        <v>93</v>
      </c>
      <c r="C156" s="1"/>
      <c r="D156" s="1"/>
      <c r="E156" s="1"/>
      <c r="F156" s="4">
        <v>82082.37</v>
      </c>
      <c r="G156" s="2">
        <v>0</v>
      </c>
      <c r="H156" s="2">
        <v>0</v>
      </c>
      <c r="I156" s="2">
        <v>0</v>
      </c>
      <c r="J156" s="2">
        <v>0</v>
      </c>
      <c r="K156" s="3">
        <v>82082.37</v>
      </c>
      <c r="L156" s="2"/>
      <c r="M156" s="9">
        <f t="shared" si="1"/>
        <v>82082.37</v>
      </c>
      <c r="N156" s="1" t="s">
        <v>393</v>
      </c>
    </row>
    <row r="157" spans="1:14" x14ac:dyDescent="0.25">
      <c r="A157" s="28" t="s">
        <v>140</v>
      </c>
      <c r="B157" s="28" t="s">
        <v>141</v>
      </c>
      <c r="C157" s="28" t="s">
        <v>359</v>
      </c>
      <c r="D157" s="28" t="s">
        <v>379</v>
      </c>
      <c r="E157" s="28" t="s">
        <v>309</v>
      </c>
      <c r="F157" s="29">
        <v>82189.8</v>
      </c>
      <c r="G157" s="29">
        <v>0</v>
      </c>
      <c r="H157" s="30">
        <v>0</v>
      </c>
      <c r="I157" s="30">
        <v>0</v>
      </c>
      <c r="J157" s="30">
        <v>0</v>
      </c>
      <c r="K157" s="31">
        <v>82189.8</v>
      </c>
      <c r="L157" s="30"/>
      <c r="M157" s="32">
        <f t="shared" si="1"/>
        <v>82189.8</v>
      </c>
      <c r="N157" s="28" t="s">
        <v>393</v>
      </c>
    </row>
    <row r="158" spans="1:14" x14ac:dyDescent="0.25">
      <c r="A158" s="1" t="s">
        <v>88</v>
      </c>
      <c r="B158" s="34" t="s">
        <v>89</v>
      </c>
      <c r="C158" s="1" t="s">
        <v>380</v>
      </c>
      <c r="D158" s="1" t="s">
        <v>381</v>
      </c>
      <c r="E158" s="1" t="s">
        <v>382</v>
      </c>
      <c r="F158" s="4">
        <v>98835.54</v>
      </c>
      <c r="G158" s="2">
        <v>-862.68</v>
      </c>
      <c r="H158" s="2">
        <v>-145.44</v>
      </c>
      <c r="I158" s="2">
        <v>-932.82</v>
      </c>
      <c r="J158" s="2">
        <v>0</v>
      </c>
      <c r="K158" s="3">
        <v>96894.6</v>
      </c>
      <c r="L158" s="2"/>
      <c r="M158" s="9">
        <f t="shared" ref="M158:M179" si="2">K158-L158</f>
        <v>96894.6</v>
      </c>
      <c r="N158" s="1" t="s">
        <v>393</v>
      </c>
    </row>
    <row r="159" spans="1:14" x14ac:dyDescent="0.25">
      <c r="A159" s="13" t="s">
        <v>243</v>
      </c>
      <c r="B159" s="23" t="s">
        <v>244</v>
      </c>
      <c r="C159" s="13"/>
      <c r="D159" s="13"/>
      <c r="E159" s="13"/>
      <c r="F159" s="14">
        <v>8389.52</v>
      </c>
      <c r="G159" s="14">
        <v>7816.73</v>
      </c>
      <c r="H159" s="15">
        <v>-84.6</v>
      </c>
      <c r="I159" s="15">
        <v>0</v>
      </c>
      <c r="J159" s="15">
        <v>0</v>
      </c>
      <c r="K159" s="16">
        <v>16121.65</v>
      </c>
      <c r="L159" s="15"/>
      <c r="M159" s="17">
        <f t="shared" si="2"/>
        <v>16121.65</v>
      </c>
      <c r="N159" s="13" t="s">
        <v>393</v>
      </c>
    </row>
    <row r="160" spans="1:14" x14ac:dyDescent="0.25">
      <c r="A160" s="1" t="s">
        <v>66</v>
      </c>
      <c r="B160" s="34" t="s">
        <v>67</v>
      </c>
      <c r="C160" s="1"/>
      <c r="D160" s="1"/>
      <c r="E160" s="1"/>
      <c r="F160" s="4">
        <v>69422.539999999994</v>
      </c>
      <c r="G160" s="2">
        <v>0</v>
      </c>
      <c r="H160" s="2">
        <v>0</v>
      </c>
      <c r="I160" s="2">
        <v>0</v>
      </c>
      <c r="J160" s="2">
        <v>0</v>
      </c>
      <c r="K160" s="3">
        <v>69422.539999999994</v>
      </c>
      <c r="L160" s="2"/>
      <c r="M160" s="9">
        <f t="shared" si="2"/>
        <v>69422.539999999994</v>
      </c>
      <c r="N160" s="1" t="s">
        <v>393</v>
      </c>
    </row>
    <row r="161" spans="1:14" x14ac:dyDescent="0.25">
      <c r="A161" s="1" t="s">
        <v>263</v>
      </c>
      <c r="B161" s="34" t="s">
        <v>67</v>
      </c>
      <c r="C161" s="1"/>
      <c r="D161" s="1"/>
      <c r="E161" s="1"/>
      <c r="F161" s="4">
        <v>4278.0600000000004</v>
      </c>
      <c r="G161" s="2">
        <v>0</v>
      </c>
      <c r="H161" s="2">
        <v>0</v>
      </c>
      <c r="I161" s="2">
        <v>0</v>
      </c>
      <c r="J161" s="2">
        <v>0</v>
      </c>
      <c r="K161" s="3">
        <v>4278.0600000000004</v>
      </c>
      <c r="L161" s="2"/>
      <c r="M161" s="9">
        <f t="shared" si="2"/>
        <v>4278.0600000000004</v>
      </c>
      <c r="N161" s="1" t="s">
        <v>393</v>
      </c>
    </row>
    <row r="162" spans="1:14" x14ac:dyDescent="0.25">
      <c r="A162" s="1" t="s">
        <v>124</v>
      </c>
      <c r="B162" s="34" t="s">
        <v>125</v>
      </c>
      <c r="C162" s="1"/>
      <c r="D162" s="1"/>
      <c r="E162" s="1"/>
      <c r="F162" s="4">
        <v>4508.76</v>
      </c>
      <c r="G162" s="2">
        <v>0</v>
      </c>
      <c r="H162" s="2">
        <v>0</v>
      </c>
      <c r="I162" s="2">
        <v>0</v>
      </c>
      <c r="J162" s="2">
        <v>0</v>
      </c>
      <c r="K162" s="3">
        <v>4508.76</v>
      </c>
      <c r="L162" s="2"/>
      <c r="M162" s="9">
        <f t="shared" si="2"/>
        <v>4508.76</v>
      </c>
      <c r="N162" s="1" t="s">
        <v>393</v>
      </c>
    </row>
    <row r="163" spans="1:14" x14ac:dyDescent="0.25">
      <c r="A163" s="1" t="s">
        <v>120</v>
      </c>
      <c r="B163" s="34" t="s">
        <v>121</v>
      </c>
      <c r="C163" s="1"/>
      <c r="D163" s="1"/>
      <c r="E163" s="1"/>
      <c r="F163" s="4">
        <v>8580</v>
      </c>
      <c r="G163" s="2">
        <v>0</v>
      </c>
      <c r="H163" s="2">
        <v>0</v>
      </c>
      <c r="I163" s="2">
        <v>0</v>
      </c>
      <c r="J163" s="2">
        <v>0</v>
      </c>
      <c r="K163" s="3">
        <v>8580</v>
      </c>
      <c r="L163" s="2"/>
      <c r="M163" s="9">
        <f t="shared" si="2"/>
        <v>8580</v>
      </c>
      <c r="N163" s="1" t="s">
        <v>393</v>
      </c>
    </row>
    <row r="164" spans="1:14" x14ac:dyDescent="0.25">
      <c r="A164" s="13" t="s">
        <v>166</v>
      </c>
      <c r="B164" s="23" t="s">
        <v>167</v>
      </c>
      <c r="C164" s="13" t="s">
        <v>383</v>
      </c>
      <c r="D164" s="13" t="s">
        <v>384</v>
      </c>
      <c r="E164" s="13" t="s">
        <v>309</v>
      </c>
      <c r="F164" s="14">
        <v>74310.48</v>
      </c>
      <c r="G164" s="14">
        <v>28860</v>
      </c>
      <c r="H164" s="15">
        <v>0</v>
      </c>
      <c r="I164" s="15">
        <v>0</v>
      </c>
      <c r="J164" s="15">
        <v>0</v>
      </c>
      <c r="K164" s="16">
        <v>103170.48</v>
      </c>
      <c r="L164" s="15"/>
      <c r="M164" s="17">
        <f t="shared" si="2"/>
        <v>103170.48</v>
      </c>
      <c r="N164" s="13" t="s">
        <v>393</v>
      </c>
    </row>
    <row r="165" spans="1:14" x14ac:dyDescent="0.25">
      <c r="A165" s="1" t="s">
        <v>227</v>
      </c>
      <c r="B165" s="34" t="s">
        <v>228</v>
      </c>
      <c r="C165" s="1"/>
      <c r="D165" s="1"/>
      <c r="E165" s="1"/>
      <c r="F165" s="4">
        <v>54367.199999999997</v>
      </c>
      <c r="G165" s="2">
        <v>0</v>
      </c>
      <c r="H165" s="2">
        <v>0</v>
      </c>
      <c r="I165" s="2">
        <v>0</v>
      </c>
      <c r="J165" s="2">
        <v>0</v>
      </c>
      <c r="K165" s="3">
        <v>54367.199999999997</v>
      </c>
      <c r="L165" s="2"/>
      <c r="M165" s="9">
        <f t="shared" si="2"/>
        <v>54367.199999999997</v>
      </c>
      <c r="N165" s="1" t="s">
        <v>398</v>
      </c>
    </row>
    <row r="166" spans="1:14" x14ac:dyDescent="0.25">
      <c r="A166" s="1" t="s">
        <v>96</v>
      </c>
      <c r="B166" s="34" t="s">
        <v>97</v>
      </c>
      <c r="C166" s="1" t="s">
        <v>385</v>
      </c>
      <c r="D166" s="1" t="s">
        <v>305</v>
      </c>
      <c r="E166" s="1" t="s">
        <v>309</v>
      </c>
      <c r="F166" s="4">
        <v>142923.54</v>
      </c>
      <c r="G166" s="2">
        <v>0</v>
      </c>
      <c r="H166" s="2">
        <v>0</v>
      </c>
      <c r="I166" s="2">
        <v>0</v>
      </c>
      <c r="J166" s="2">
        <v>0</v>
      </c>
      <c r="K166" s="3">
        <v>142923.54</v>
      </c>
      <c r="L166" s="2"/>
      <c r="M166" s="9">
        <f t="shared" si="2"/>
        <v>142923.54</v>
      </c>
      <c r="N166" s="1" t="s">
        <v>393</v>
      </c>
    </row>
    <row r="167" spans="1:14" x14ac:dyDescent="0.25">
      <c r="A167" s="1" t="s">
        <v>239</v>
      </c>
      <c r="B167" s="34" t="s">
        <v>240</v>
      </c>
      <c r="C167" s="1"/>
      <c r="D167" s="1"/>
      <c r="E167" s="1"/>
      <c r="F167" s="4">
        <v>15543.99</v>
      </c>
      <c r="G167" s="2">
        <v>-233.76</v>
      </c>
      <c r="H167" s="2">
        <v>0</v>
      </c>
      <c r="I167" s="2">
        <v>-27.64</v>
      </c>
      <c r="J167" s="2">
        <v>-4</v>
      </c>
      <c r="K167" s="3">
        <v>15278.59</v>
      </c>
      <c r="L167" s="2"/>
      <c r="M167" s="9">
        <f t="shared" si="2"/>
        <v>15278.59</v>
      </c>
      <c r="N167" s="1" t="s">
        <v>401</v>
      </c>
    </row>
    <row r="168" spans="1:14" x14ac:dyDescent="0.25">
      <c r="A168" s="1" t="s">
        <v>199</v>
      </c>
      <c r="B168" s="34" t="s">
        <v>200</v>
      </c>
      <c r="C168" s="1"/>
      <c r="D168" s="1"/>
      <c r="E168" s="1"/>
      <c r="F168" s="4">
        <v>18156.62</v>
      </c>
      <c r="G168" s="2">
        <v>0</v>
      </c>
      <c r="H168" s="2">
        <v>-0.84</v>
      </c>
      <c r="I168" s="2">
        <v>0</v>
      </c>
      <c r="J168" s="2">
        <v>0</v>
      </c>
      <c r="K168" s="3">
        <v>18155.78</v>
      </c>
      <c r="L168" s="2"/>
      <c r="M168" s="9">
        <f t="shared" si="2"/>
        <v>18155.78</v>
      </c>
      <c r="N168" s="1" t="s">
        <v>393</v>
      </c>
    </row>
    <row r="169" spans="1:14" x14ac:dyDescent="0.25">
      <c r="A169" s="1" t="s">
        <v>68</v>
      </c>
      <c r="B169" s="34" t="s">
        <v>69</v>
      </c>
      <c r="C169" s="1"/>
      <c r="D169" s="1"/>
      <c r="E169" s="1"/>
      <c r="F169" s="4">
        <v>3074.32</v>
      </c>
      <c r="G169" s="2">
        <v>0</v>
      </c>
      <c r="H169" s="2">
        <v>0</v>
      </c>
      <c r="I169" s="2">
        <v>0</v>
      </c>
      <c r="J169" s="2">
        <v>0</v>
      </c>
      <c r="K169" s="3">
        <v>3074.32</v>
      </c>
      <c r="L169" s="2"/>
      <c r="M169" s="9">
        <f t="shared" si="2"/>
        <v>3074.32</v>
      </c>
      <c r="N169" s="1" t="s">
        <v>393</v>
      </c>
    </row>
    <row r="170" spans="1:14" x14ac:dyDescent="0.25">
      <c r="A170" s="1" t="s">
        <v>90</v>
      </c>
      <c r="B170" s="34" t="s">
        <v>91</v>
      </c>
      <c r="C170" s="1"/>
      <c r="D170" s="1"/>
      <c r="E170" s="1"/>
      <c r="F170" s="4">
        <v>8211.7900000000009</v>
      </c>
      <c r="G170" s="2">
        <v>0</v>
      </c>
      <c r="H170" s="2">
        <v>0</v>
      </c>
      <c r="I170" s="2">
        <v>0</v>
      </c>
      <c r="J170" s="2">
        <v>0</v>
      </c>
      <c r="K170" s="3">
        <v>8211.7900000000009</v>
      </c>
      <c r="L170" s="2"/>
      <c r="M170" s="9">
        <f t="shared" si="2"/>
        <v>8211.7900000000009</v>
      </c>
      <c r="N170" s="1" t="s">
        <v>393</v>
      </c>
    </row>
    <row r="171" spans="1:14" x14ac:dyDescent="0.25">
      <c r="A171" s="1" t="s">
        <v>34</v>
      </c>
      <c r="B171" s="34" t="s">
        <v>35</v>
      </c>
      <c r="C171" s="1"/>
      <c r="D171" s="1"/>
      <c r="E171" s="1"/>
      <c r="F171" s="2">
        <v>600</v>
      </c>
      <c r="G171" s="2">
        <v>0</v>
      </c>
      <c r="H171" s="2">
        <v>0</v>
      </c>
      <c r="I171" s="2">
        <v>0</v>
      </c>
      <c r="J171" s="2">
        <v>-6.36</v>
      </c>
      <c r="K171" s="3">
        <v>593.64</v>
      </c>
      <c r="L171" s="2"/>
      <c r="M171" s="9">
        <f t="shared" si="2"/>
        <v>593.64</v>
      </c>
      <c r="N171" s="1" t="s">
        <v>393</v>
      </c>
    </row>
    <row r="172" spans="1:14" x14ac:dyDescent="0.25">
      <c r="A172" s="1" t="s">
        <v>253</v>
      </c>
      <c r="B172" s="34" t="s">
        <v>254</v>
      </c>
      <c r="C172" s="1" t="s">
        <v>386</v>
      </c>
      <c r="D172" s="1" t="s">
        <v>387</v>
      </c>
      <c r="E172" s="1" t="s">
        <v>309</v>
      </c>
      <c r="F172" s="4">
        <v>22219</v>
      </c>
      <c r="G172" s="2">
        <v>0</v>
      </c>
      <c r="H172" s="2">
        <v>0</v>
      </c>
      <c r="I172" s="2">
        <v>0</v>
      </c>
      <c r="J172" s="2">
        <v>0</v>
      </c>
      <c r="K172" s="3">
        <v>22219</v>
      </c>
      <c r="L172" s="2"/>
      <c r="M172" s="9">
        <f t="shared" si="2"/>
        <v>22219</v>
      </c>
      <c r="N172" s="1" t="s">
        <v>404</v>
      </c>
    </row>
    <row r="173" spans="1:14" x14ac:dyDescent="0.25">
      <c r="A173" s="1" t="s">
        <v>130</v>
      </c>
      <c r="B173" s="34" t="s">
        <v>131</v>
      </c>
      <c r="C173" s="1"/>
      <c r="D173" s="1"/>
      <c r="E173" s="1"/>
      <c r="F173" s="4">
        <v>1290.22</v>
      </c>
      <c r="G173" s="2">
        <v>0</v>
      </c>
      <c r="H173" s="2">
        <v>0</v>
      </c>
      <c r="I173" s="2">
        <v>0</v>
      </c>
      <c r="J173" s="2">
        <v>0</v>
      </c>
      <c r="K173" s="3">
        <v>1290.22</v>
      </c>
      <c r="L173" s="2"/>
      <c r="M173" s="9">
        <f t="shared" si="2"/>
        <v>1290.22</v>
      </c>
      <c r="N173" s="1" t="s">
        <v>393</v>
      </c>
    </row>
    <row r="174" spans="1:14" x14ac:dyDescent="0.25">
      <c r="A174" s="1" t="s">
        <v>193</v>
      </c>
      <c r="B174" s="34" t="s">
        <v>194</v>
      </c>
      <c r="C174" s="1"/>
      <c r="D174" s="1"/>
      <c r="E174" s="1"/>
      <c r="F174" s="4">
        <v>97739.28</v>
      </c>
      <c r="G174" s="2">
        <v>-17.28</v>
      </c>
      <c r="H174" s="2">
        <v>0</v>
      </c>
      <c r="I174" s="2">
        <v>0</v>
      </c>
      <c r="J174" s="2">
        <v>0</v>
      </c>
      <c r="K174" s="3">
        <v>97722</v>
      </c>
      <c r="L174" s="2"/>
      <c r="M174" s="9">
        <f t="shared" si="2"/>
        <v>97722</v>
      </c>
      <c r="N174" s="1" t="s">
        <v>393</v>
      </c>
    </row>
    <row r="175" spans="1:14" x14ac:dyDescent="0.25">
      <c r="A175" s="1" t="s">
        <v>148</v>
      </c>
      <c r="B175" s="34" t="s">
        <v>149</v>
      </c>
      <c r="C175" s="1"/>
      <c r="D175" s="1"/>
      <c r="E175" s="1"/>
      <c r="F175" s="4">
        <v>10105.66</v>
      </c>
      <c r="G175" s="2">
        <v>0</v>
      </c>
      <c r="H175" s="2">
        <v>0</v>
      </c>
      <c r="I175" s="2">
        <v>0</v>
      </c>
      <c r="J175" s="2">
        <v>0</v>
      </c>
      <c r="K175" s="3">
        <v>10105.66</v>
      </c>
      <c r="L175" s="2"/>
      <c r="M175" s="9">
        <f t="shared" si="2"/>
        <v>10105.66</v>
      </c>
      <c r="N175" s="1" t="s">
        <v>393</v>
      </c>
    </row>
    <row r="176" spans="1:14" x14ac:dyDescent="0.25">
      <c r="A176" s="1" t="s">
        <v>261</v>
      </c>
      <c r="B176" s="34" t="s">
        <v>262</v>
      </c>
      <c r="C176" s="1"/>
      <c r="D176" s="1"/>
      <c r="E176" s="1"/>
      <c r="F176" s="4">
        <v>2040</v>
      </c>
      <c r="G176" s="2">
        <v>0</v>
      </c>
      <c r="H176" s="2">
        <v>0</v>
      </c>
      <c r="I176" s="2">
        <v>0</v>
      </c>
      <c r="J176" s="2">
        <v>0</v>
      </c>
      <c r="K176" s="3">
        <v>2040</v>
      </c>
      <c r="L176" s="2"/>
      <c r="M176" s="9">
        <f t="shared" si="2"/>
        <v>2040</v>
      </c>
      <c r="N176" s="1" t="s">
        <v>393</v>
      </c>
    </row>
    <row r="177" spans="1:14" x14ac:dyDescent="0.25">
      <c r="A177" s="13" t="s">
        <v>251</v>
      </c>
      <c r="B177" s="23" t="s">
        <v>252</v>
      </c>
      <c r="C177" s="13" t="s">
        <v>388</v>
      </c>
      <c r="D177" s="13" t="s">
        <v>389</v>
      </c>
      <c r="E177" s="13" t="s">
        <v>306</v>
      </c>
      <c r="F177" s="15">
        <v>0</v>
      </c>
      <c r="G177" s="15">
        <v>0</v>
      </c>
      <c r="H177" s="15">
        <v>0</v>
      </c>
      <c r="I177" s="15">
        <v>0</v>
      </c>
      <c r="J177" s="14">
        <v>36203.199999999997</v>
      </c>
      <c r="K177" s="16">
        <v>36203.199999999997</v>
      </c>
      <c r="L177" s="14"/>
      <c r="M177" s="17">
        <f t="shared" si="2"/>
        <v>36203.199999999997</v>
      </c>
      <c r="N177" s="13" t="s">
        <v>395</v>
      </c>
    </row>
    <row r="178" spans="1:14" x14ac:dyDescent="0.25">
      <c r="A178" s="1" t="s">
        <v>106</v>
      </c>
      <c r="B178" s="34" t="s">
        <v>107</v>
      </c>
      <c r="C178" s="1" t="s">
        <v>390</v>
      </c>
      <c r="D178" s="1" t="s">
        <v>391</v>
      </c>
      <c r="E178" s="1">
        <v>0</v>
      </c>
      <c r="F178" s="4">
        <v>43140.12</v>
      </c>
      <c r="G178" s="2">
        <v>0</v>
      </c>
      <c r="H178" s="2">
        <v>0</v>
      </c>
      <c r="I178" s="2">
        <v>0</v>
      </c>
      <c r="J178" s="2">
        <v>-638.4</v>
      </c>
      <c r="K178" s="3">
        <v>42501.72</v>
      </c>
      <c r="L178" s="2"/>
      <c r="M178" s="9">
        <f t="shared" si="2"/>
        <v>42501.72</v>
      </c>
      <c r="N178" s="1" t="s">
        <v>393</v>
      </c>
    </row>
    <row r="179" spans="1:14" x14ac:dyDescent="0.25">
      <c r="A179" s="1" t="s">
        <v>108</v>
      </c>
      <c r="B179" s="34" t="s">
        <v>109</v>
      </c>
      <c r="C179" s="1"/>
      <c r="D179" s="1"/>
      <c r="E179" s="1"/>
      <c r="F179" s="4">
        <v>2831.58</v>
      </c>
      <c r="G179" s="2">
        <v>-26.4</v>
      </c>
      <c r="H179" s="2">
        <v>0</v>
      </c>
      <c r="I179" s="2">
        <v>0</v>
      </c>
      <c r="J179" s="4">
        <v>-2200.2399999999998</v>
      </c>
      <c r="K179" s="3">
        <v>604.94000000000005</v>
      </c>
      <c r="L179" s="4"/>
      <c r="M179" s="9">
        <f t="shared" si="2"/>
        <v>604.94000000000005</v>
      </c>
      <c r="N179" s="1" t="s">
        <v>400</v>
      </c>
    </row>
    <row r="181" spans="1:14" ht="15.75" thickBot="1" x14ac:dyDescent="0.3">
      <c r="A181" s="2"/>
      <c r="B181" s="5" t="s">
        <v>296</v>
      </c>
      <c r="C181" s="5"/>
      <c r="D181" s="5"/>
      <c r="E181" s="5"/>
      <c r="F181" s="6">
        <f>SUM(F35:F180)</f>
        <v>3392298.2000000011</v>
      </c>
      <c r="G181" s="6">
        <f>SUM(G35:G180)</f>
        <v>260191.83000000005</v>
      </c>
      <c r="H181" s="6">
        <f>SUM(H35:H180)</f>
        <v>29602.52</v>
      </c>
      <c r="I181" s="6">
        <f>SUM(I35:I180)</f>
        <v>-1332.99</v>
      </c>
      <c r="J181" s="6">
        <f>SUM(J35:J180)</f>
        <v>58211.759999999995</v>
      </c>
      <c r="K181" s="6">
        <f>SUM(K35:K180)</f>
        <v>3738971.3200000003</v>
      </c>
      <c r="L181" s="7"/>
      <c r="M181" s="6">
        <f>SUM(M35:M180)</f>
        <v>3738971.3200000003</v>
      </c>
      <c r="N181" s="6"/>
    </row>
  </sheetData>
  <pageMargins left="0.75" right="0.75" top="1" bottom="1" header="0.5" footer="0.5"/>
  <pageSetup paperSize="9" scale="50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4198A-6EA9-4836-A56D-D4C81FD23DFB}"/>
</file>

<file path=customXml/itemProps2.xml><?xml version="1.0" encoding="utf-8"?>
<ds:datastoreItem xmlns:ds="http://schemas.openxmlformats.org/officeDocument/2006/customXml" ds:itemID="{5E423F3E-8758-44D8-B6C5-34CB6332A02E}"/>
</file>

<file path=customXml/itemProps3.xml><?xml version="1.0" encoding="utf-8"?>
<ds:datastoreItem xmlns:ds="http://schemas.openxmlformats.org/officeDocument/2006/customXml" ds:itemID="{077E20D8-A6F0-4726-8CE5-0CFDE333F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2026-10-20T15:16:35Z</cp:lastPrinted>
  <dcterms:created xsi:type="dcterms:W3CDTF">2026-10-20T15:15:45Z</dcterms:created>
  <dcterms:modified xsi:type="dcterms:W3CDTF">2026-10-20T15:18:12Z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