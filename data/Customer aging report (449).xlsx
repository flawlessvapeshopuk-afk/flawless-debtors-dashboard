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lawlessvapedia.sharepoint.com/sites/AccountsDept/Shared Documents/Aged Debtors/MG/"/>
    </mc:Choice>
  </mc:AlternateContent>
  <xr:revisionPtr revIDLastSave="8" documentId="8_{BFA30B0D-EFC5-45C2-BE63-A56501393D41}" xr6:coauthVersionLast="47" xr6:coauthVersionMax="47" xr10:uidLastSave="{65CEF762-5483-4B35-86FA-6EE08CC48E60}"/>
  <bookViews>
    <workbookView xWindow="28680" yWindow="-120" windowWidth="29040" windowHeight="15720" xr2:uid="{5A132904-7734-4FC9-BDAA-3C7BD3491F52}"/>
  </bookViews>
  <sheets>
    <sheet name="Customer aging report (71)" sheetId="1" r:id="rId1"/>
  </sheets>
  <definedNames>
    <definedName name="_xlnm._FilterDatabase" localSheetId="0" hidden="1">'Customer aging report (71)'!$A$3:$N$172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74" i="1" l="1"/>
  <c r="J174" i="1"/>
  <c r="I174" i="1"/>
  <c r="H174" i="1"/>
  <c r="F156" i="1"/>
  <c r="K156" i="1" s="1"/>
  <c r="M156" i="1" s="1"/>
  <c r="F167" i="1"/>
  <c r="G67" i="1"/>
  <c r="G85" i="1"/>
  <c r="K85" i="1" s="1"/>
  <c r="M85" i="1" s="1"/>
  <c r="K37" i="1"/>
  <c r="M37" i="1" s="1"/>
  <c r="K38" i="1"/>
  <c r="M38" i="1" s="1"/>
  <c r="K39" i="1"/>
  <c r="M39" i="1" s="1"/>
  <c r="K40" i="1"/>
  <c r="M40" i="1" s="1"/>
  <c r="K41" i="1"/>
  <c r="M41" i="1" s="1"/>
  <c r="K42" i="1"/>
  <c r="M42" i="1" s="1"/>
  <c r="K43" i="1"/>
  <c r="M43" i="1" s="1"/>
  <c r="K44" i="1"/>
  <c r="M44" i="1" s="1"/>
  <c r="K45" i="1"/>
  <c r="M45" i="1" s="1"/>
  <c r="K46" i="1"/>
  <c r="M46" i="1" s="1"/>
  <c r="K47" i="1"/>
  <c r="M47" i="1" s="1"/>
  <c r="K48" i="1"/>
  <c r="M48" i="1" s="1"/>
  <c r="K49" i="1"/>
  <c r="M49" i="1" s="1"/>
  <c r="K50" i="1"/>
  <c r="M50" i="1" s="1"/>
  <c r="K51" i="1"/>
  <c r="M51" i="1" s="1"/>
  <c r="K52" i="1"/>
  <c r="M52" i="1" s="1"/>
  <c r="K53" i="1"/>
  <c r="M53" i="1" s="1"/>
  <c r="K54" i="1"/>
  <c r="M54" i="1" s="1"/>
  <c r="K55" i="1"/>
  <c r="M55" i="1" s="1"/>
  <c r="K56" i="1"/>
  <c r="M56" i="1" s="1"/>
  <c r="K57" i="1"/>
  <c r="M57" i="1" s="1"/>
  <c r="K58" i="1"/>
  <c r="M58" i="1" s="1"/>
  <c r="K59" i="1"/>
  <c r="M59" i="1" s="1"/>
  <c r="K60" i="1"/>
  <c r="M60" i="1" s="1"/>
  <c r="K61" i="1"/>
  <c r="M61" i="1" s="1"/>
  <c r="K62" i="1"/>
  <c r="M62" i="1" s="1"/>
  <c r="K63" i="1"/>
  <c r="M63" i="1" s="1"/>
  <c r="K64" i="1"/>
  <c r="M64" i="1" s="1"/>
  <c r="K65" i="1"/>
  <c r="M65" i="1" s="1"/>
  <c r="K66" i="1"/>
  <c r="M66" i="1" s="1"/>
  <c r="K68" i="1"/>
  <c r="M68" i="1" s="1"/>
  <c r="K69" i="1"/>
  <c r="M69" i="1" s="1"/>
  <c r="K70" i="1"/>
  <c r="M70" i="1" s="1"/>
  <c r="K71" i="1"/>
  <c r="M71" i="1" s="1"/>
  <c r="K72" i="1"/>
  <c r="M72" i="1" s="1"/>
  <c r="K73" i="1"/>
  <c r="M73" i="1" s="1"/>
  <c r="K74" i="1"/>
  <c r="M74" i="1" s="1"/>
  <c r="K75" i="1"/>
  <c r="M75" i="1" s="1"/>
  <c r="K76" i="1"/>
  <c r="M76" i="1" s="1"/>
  <c r="K77" i="1"/>
  <c r="M77" i="1" s="1"/>
  <c r="K78" i="1"/>
  <c r="M78" i="1" s="1"/>
  <c r="K79" i="1"/>
  <c r="M79" i="1" s="1"/>
  <c r="K80" i="1"/>
  <c r="M80" i="1" s="1"/>
  <c r="K81" i="1"/>
  <c r="M81" i="1" s="1"/>
  <c r="K82" i="1"/>
  <c r="M82" i="1" s="1"/>
  <c r="K83" i="1"/>
  <c r="M83" i="1" s="1"/>
  <c r="K84" i="1"/>
  <c r="M84" i="1" s="1"/>
  <c r="K86" i="1"/>
  <c r="M86" i="1" s="1"/>
  <c r="K87" i="1"/>
  <c r="M87" i="1" s="1"/>
  <c r="K88" i="1"/>
  <c r="M88" i="1" s="1"/>
  <c r="K89" i="1"/>
  <c r="M89" i="1" s="1"/>
  <c r="K90" i="1"/>
  <c r="M90" i="1" s="1"/>
  <c r="K91" i="1"/>
  <c r="M91" i="1" s="1"/>
  <c r="K92" i="1"/>
  <c r="M92" i="1" s="1"/>
  <c r="K93" i="1"/>
  <c r="M93" i="1" s="1"/>
  <c r="K94" i="1"/>
  <c r="M94" i="1" s="1"/>
  <c r="K95" i="1"/>
  <c r="M95" i="1" s="1"/>
  <c r="K96" i="1"/>
  <c r="M96" i="1" s="1"/>
  <c r="K97" i="1"/>
  <c r="M97" i="1" s="1"/>
  <c r="K98" i="1"/>
  <c r="M98" i="1" s="1"/>
  <c r="K99" i="1"/>
  <c r="M99" i="1" s="1"/>
  <c r="K100" i="1"/>
  <c r="M100" i="1" s="1"/>
  <c r="K101" i="1"/>
  <c r="M101" i="1" s="1"/>
  <c r="K102" i="1"/>
  <c r="M102" i="1" s="1"/>
  <c r="K103" i="1"/>
  <c r="M103" i="1" s="1"/>
  <c r="K104" i="1"/>
  <c r="M104" i="1" s="1"/>
  <c r="K105" i="1"/>
  <c r="M105" i="1" s="1"/>
  <c r="K106" i="1"/>
  <c r="M106" i="1" s="1"/>
  <c r="K107" i="1"/>
  <c r="M107" i="1" s="1"/>
  <c r="K108" i="1"/>
  <c r="M108" i="1" s="1"/>
  <c r="K109" i="1"/>
  <c r="M109" i="1" s="1"/>
  <c r="K110" i="1"/>
  <c r="M110" i="1" s="1"/>
  <c r="K111" i="1"/>
  <c r="M111" i="1" s="1"/>
  <c r="K112" i="1"/>
  <c r="M112" i="1" s="1"/>
  <c r="K113" i="1"/>
  <c r="M113" i="1" s="1"/>
  <c r="K114" i="1"/>
  <c r="M114" i="1" s="1"/>
  <c r="K115" i="1"/>
  <c r="M115" i="1" s="1"/>
  <c r="K116" i="1"/>
  <c r="M116" i="1" s="1"/>
  <c r="K117" i="1"/>
  <c r="M117" i="1" s="1"/>
  <c r="K118" i="1"/>
  <c r="M118" i="1" s="1"/>
  <c r="K119" i="1"/>
  <c r="M119" i="1" s="1"/>
  <c r="K120" i="1"/>
  <c r="M120" i="1" s="1"/>
  <c r="K121" i="1"/>
  <c r="M121" i="1" s="1"/>
  <c r="K122" i="1"/>
  <c r="M122" i="1" s="1"/>
  <c r="K123" i="1"/>
  <c r="M123" i="1" s="1"/>
  <c r="K124" i="1"/>
  <c r="M124" i="1" s="1"/>
  <c r="K125" i="1"/>
  <c r="M125" i="1" s="1"/>
  <c r="K126" i="1"/>
  <c r="M126" i="1" s="1"/>
  <c r="K127" i="1"/>
  <c r="M127" i="1" s="1"/>
  <c r="K128" i="1"/>
  <c r="M128" i="1" s="1"/>
  <c r="K129" i="1"/>
  <c r="M129" i="1" s="1"/>
  <c r="K130" i="1"/>
  <c r="M130" i="1" s="1"/>
  <c r="K131" i="1"/>
  <c r="M131" i="1" s="1"/>
  <c r="K132" i="1"/>
  <c r="M132" i="1" s="1"/>
  <c r="K133" i="1"/>
  <c r="M133" i="1" s="1"/>
  <c r="K134" i="1"/>
  <c r="M134" i="1" s="1"/>
  <c r="K135" i="1"/>
  <c r="M135" i="1" s="1"/>
  <c r="K136" i="1"/>
  <c r="M136" i="1" s="1"/>
  <c r="K137" i="1"/>
  <c r="M137" i="1" s="1"/>
  <c r="K138" i="1"/>
  <c r="M138" i="1" s="1"/>
  <c r="K139" i="1"/>
  <c r="M139" i="1" s="1"/>
  <c r="K140" i="1"/>
  <c r="M140" i="1" s="1"/>
  <c r="K141" i="1"/>
  <c r="M141" i="1" s="1"/>
  <c r="K142" i="1"/>
  <c r="M142" i="1" s="1"/>
  <c r="K143" i="1"/>
  <c r="M143" i="1" s="1"/>
  <c r="K144" i="1"/>
  <c r="M144" i="1" s="1"/>
  <c r="K145" i="1"/>
  <c r="M145" i="1" s="1"/>
  <c r="K146" i="1"/>
  <c r="M146" i="1" s="1"/>
  <c r="K147" i="1"/>
  <c r="M147" i="1" s="1"/>
  <c r="K148" i="1"/>
  <c r="M148" i="1" s="1"/>
  <c r="K149" i="1"/>
  <c r="M149" i="1" s="1"/>
  <c r="K150" i="1"/>
  <c r="M150" i="1" s="1"/>
  <c r="K151" i="1"/>
  <c r="M151" i="1" s="1"/>
  <c r="K152" i="1"/>
  <c r="M152" i="1" s="1"/>
  <c r="K153" i="1"/>
  <c r="M153" i="1" s="1"/>
  <c r="K154" i="1"/>
  <c r="M154" i="1" s="1"/>
  <c r="K155" i="1"/>
  <c r="M155" i="1" s="1"/>
  <c r="K157" i="1"/>
  <c r="M157" i="1" s="1"/>
  <c r="K158" i="1"/>
  <c r="M158" i="1" s="1"/>
  <c r="K159" i="1"/>
  <c r="M159" i="1" s="1"/>
  <c r="K160" i="1"/>
  <c r="M160" i="1" s="1"/>
  <c r="K161" i="1"/>
  <c r="M161" i="1" s="1"/>
  <c r="K162" i="1"/>
  <c r="M162" i="1" s="1"/>
  <c r="K163" i="1"/>
  <c r="M163" i="1" s="1"/>
  <c r="K164" i="1"/>
  <c r="M164" i="1" s="1"/>
  <c r="K165" i="1"/>
  <c r="M165" i="1" s="1"/>
  <c r="K166" i="1"/>
  <c r="M166" i="1" s="1"/>
  <c r="K168" i="1"/>
  <c r="M168" i="1" s="1"/>
  <c r="K169" i="1"/>
  <c r="M169" i="1" s="1"/>
  <c r="K170" i="1"/>
  <c r="M170" i="1" s="1"/>
  <c r="K171" i="1"/>
  <c r="M171" i="1" s="1"/>
  <c r="K172" i="1"/>
  <c r="M172" i="1" s="1"/>
  <c r="K36" i="1"/>
  <c r="K167" i="1" l="1"/>
  <c r="F174" i="1"/>
  <c r="K67" i="1"/>
  <c r="M67" i="1" s="1"/>
  <c r="G174" i="1"/>
  <c r="M36" i="1"/>
  <c r="K174" i="1"/>
  <c r="M167" i="1"/>
</calcChain>
</file>

<file path=xl/sharedStrings.xml><?xml version="1.0" encoding="utf-8"?>
<sst xmlns="http://schemas.openxmlformats.org/spreadsheetml/2006/main" count="691" uniqueCount="382">
  <si>
    <t>Customer ID</t>
  </si>
  <si>
    <t>Customer name</t>
  </si>
  <si>
    <t>0-30</t>
  </si>
  <si>
    <t>31-60</t>
  </si>
  <si>
    <t>61-90</t>
  </si>
  <si>
    <t>91-120</t>
  </si>
  <si>
    <t>121-</t>
  </si>
  <si>
    <t>Total</t>
  </si>
  <si>
    <t>C00120</t>
  </si>
  <si>
    <t>Big Vapes</t>
  </si>
  <si>
    <t>C00243</t>
  </si>
  <si>
    <t>Clyde Importers Ltd</t>
  </si>
  <si>
    <t>C00325</t>
  </si>
  <si>
    <t>Dirty Bs Vape Bar</t>
  </si>
  <si>
    <t>C00409</t>
  </si>
  <si>
    <t>Vapostore</t>
  </si>
  <si>
    <t>C00429</t>
  </si>
  <si>
    <t>Evapo, C/O Spatial Group Spatial House,</t>
  </si>
  <si>
    <t>C00436</t>
  </si>
  <si>
    <t>Evolution Vaping</t>
  </si>
  <si>
    <t>C00438</t>
  </si>
  <si>
    <t>Evpe CCVapours Online</t>
  </si>
  <si>
    <t>C00465</t>
  </si>
  <si>
    <t>Fizzy Uk Limited</t>
  </si>
  <si>
    <t>C00518</t>
  </si>
  <si>
    <t>Good One Deals UK Private Ltd</t>
  </si>
  <si>
    <t>C00530</t>
  </si>
  <si>
    <t>green lion distribution limited</t>
  </si>
  <si>
    <t>C00581</t>
  </si>
  <si>
    <t>Hove Vapor Inc</t>
  </si>
  <si>
    <t>C00631</t>
  </si>
  <si>
    <t>Paul Mason</t>
  </si>
  <si>
    <t>C00643</t>
  </si>
  <si>
    <t>Jewel Of Vape Ltd</t>
  </si>
  <si>
    <t>C00662</t>
  </si>
  <si>
    <t>Juice Sauz Ltd</t>
  </si>
  <si>
    <t>C00676</t>
  </si>
  <si>
    <t>Ventura Consultancy LTD</t>
  </si>
  <si>
    <t>C00749</t>
  </si>
  <si>
    <t>Legacy vape hub uk ltd</t>
  </si>
  <si>
    <t>C00769</t>
  </si>
  <si>
    <t>London Vape Wholesale</t>
  </si>
  <si>
    <t>C00835</t>
  </si>
  <si>
    <t>Mix Labs UK LTD</t>
  </si>
  <si>
    <t>C00836</t>
  </si>
  <si>
    <t>Grey Haze</t>
  </si>
  <si>
    <t>C00885</t>
  </si>
  <si>
    <t>Elux Europe Ltd</t>
  </si>
  <si>
    <t>C00905</t>
  </si>
  <si>
    <t>Nom Nomz Vape Store</t>
  </si>
  <si>
    <t>C00918</t>
  </si>
  <si>
    <t>Nottingham Haze Ltd</t>
  </si>
  <si>
    <t>C00971</t>
  </si>
  <si>
    <t>The E-Cig Store Ltd</t>
  </si>
  <si>
    <t>C00988</t>
  </si>
  <si>
    <t>The Vape Shop (Witrock Ltd)</t>
  </si>
  <si>
    <t>C01030</t>
  </si>
  <si>
    <t>PT Distribution</t>
  </si>
  <si>
    <t>C01039</t>
  </si>
  <si>
    <t>Puffstuff Ltd</t>
  </si>
  <si>
    <t>C01075</t>
  </si>
  <si>
    <t>REVAPE LTD</t>
  </si>
  <si>
    <t>C01143</t>
  </si>
  <si>
    <t>Vapeserve Ltd - Gary Ball (Mandeep)</t>
  </si>
  <si>
    <t>C01270</t>
  </si>
  <si>
    <t>VAPE FACTORY</t>
  </si>
  <si>
    <t>C01279</t>
  </si>
  <si>
    <t>Mitalee Shah</t>
  </si>
  <si>
    <t>C01338</t>
  </si>
  <si>
    <t>Island Vape</t>
  </si>
  <si>
    <t>C01391</t>
  </si>
  <si>
    <t>The Ecig Centre</t>
  </si>
  <si>
    <t>C01395</t>
  </si>
  <si>
    <t>The Ace Of Vapes Wholesale Ltd</t>
  </si>
  <si>
    <t>C01445</t>
  </si>
  <si>
    <t>The Yorkshire Vaper</t>
  </si>
  <si>
    <t>C01475</t>
  </si>
  <si>
    <t>Titanic Vapour</t>
  </si>
  <si>
    <t>C01522</t>
  </si>
  <si>
    <t>Uk Vapour Brands</t>
  </si>
  <si>
    <t>C01524</t>
  </si>
  <si>
    <t>Ukvk Wholesale</t>
  </si>
  <si>
    <t>C01644</t>
  </si>
  <si>
    <t>Vape Supplier</t>
  </si>
  <si>
    <t>C01672</t>
  </si>
  <si>
    <t>Vape Lagoon</t>
  </si>
  <si>
    <t>C01708</t>
  </si>
  <si>
    <t>Vape Superstore</t>
  </si>
  <si>
    <t>C01742</t>
  </si>
  <si>
    <t>Vape Jungle</t>
  </si>
  <si>
    <t>C01765</t>
  </si>
  <si>
    <t>Future Juice</t>
  </si>
  <si>
    <t>C01795</t>
  </si>
  <si>
    <t>VapeHQ</t>
  </si>
  <si>
    <t>C01803</t>
  </si>
  <si>
    <t>Vape Barz</t>
  </si>
  <si>
    <t>C01832</t>
  </si>
  <si>
    <t>Kn Kn Global Ltd T/A Vivo Vape Earl Shilton</t>
  </si>
  <si>
    <t>C01833</t>
  </si>
  <si>
    <t>Kn kn Trading Ltd T/a Vivo Vape Syston</t>
  </si>
  <si>
    <t>C01834</t>
  </si>
  <si>
    <t>Ks Excellence Ltd T/a Vivo Vape Loughborough</t>
  </si>
  <si>
    <t>C01894</t>
  </si>
  <si>
    <t>Ecig One</t>
  </si>
  <si>
    <t>C01915</t>
  </si>
  <si>
    <t>Zebra Worldwide Limited</t>
  </si>
  <si>
    <t>C01916</t>
  </si>
  <si>
    <t>Zeus Juice - Dawn Squires</t>
  </si>
  <si>
    <t>C02160</t>
  </si>
  <si>
    <t>Ninja vapes Limited</t>
  </si>
  <si>
    <t>C02171</t>
  </si>
  <si>
    <t>Londis</t>
  </si>
  <si>
    <t>C02187</t>
  </si>
  <si>
    <t>RSB Traders Ltd T/A Vapor Shop Direct</t>
  </si>
  <si>
    <t>C02225</t>
  </si>
  <si>
    <t>Vape Heavan (Prince Fancy Goods)</t>
  </si>
  <si>
    <t>C02269</t>
  </si>
  <si>
    <t>Xtreme Juice Ltd</t>
  </si>
  <si>
    <t>C02314</t>
  </si>
  <si>
    <t>UK Ecig Vendor Ltd t/a UK Aspire Vendor</t>
  </si>
  <si>
    <t>C02398</t>
  </si>
  <si>
    <t>V&amp;M Tolworth Ltd</t>
  </si>
  <si>
    <t>C02643</t>
  </si>
  <si>
    <t>HONG KONG IVPS INTERNATIONAL LIMITED</t>
  </si>
  <si>
    <t>C02673</t>
  </si>
  <si>
    <t>RV Karma Ltd</t>
  </si>
  <si>
    <t>C02701</t>
  </si>
  <si>
    <t>Vivo Vape Leicester</t>
  </si>
  <si>
    <t>C02706</t>
  </si>
  <si>
    <t>Deals 247</t>
  </si>
  <si>
    <t>C02753</t>
  </si>
  <si>
    <t>Kyle Moore</t>
  </si>
  <si>
    <t>C02854</t>
  </si>
  <si>
    <t>Cloud Chasers</t>
  </si>
  <si>
    <t>C03021</t>
  </si>
  <si>
    <t>Vape Mart</t>
  </si>
  <si>
    <t>C03032</t>
  </si>
  <si>
    <t>The Vape Store</t>
  </si>
  <si>
    <t>C03106</t>
  </si>
  <si>
    <t>Grays Cloud City Vape</t>
  </si>
  <si>
    <t>C03107</t>
  </si>
  <si>
    <t>Ilford Cloud City Vape</t>
  </si>
  <si>
    <t>C03116</t>
  </si>
  <si>
    <t>Whitechapel Cloud City Vape</t>
  </si>
  <si>
    <t>C03129</t>
  </si>
  <si>
    <t>Tooting Cloud City Vape</t>
  </si>
  <si>
    <t>C03218</t>
  </si>
  <si>
    <t>Little Market Convenience Store Serhat Can</t>
  </si>
  <si>
    <t>C03225</t>
  </si>
  <si>
    <t>Tidal Vape</t>
  </si>
  <si>
    <t>C03239</t>
  </si>
  <si>
    <t>RYS TRADE LTD</t>
  </si>
  <si>
    <t>C03417</t>
  </si>
  <si>
    <t>HRM Trade Limited</t>
  </si>
  <si>
    <t>C03439</t>
  </si>
  <si>
    <t>Raging Bull Limited</t>
  </si>
  <si>
    <t>C03569</t>
  </si>
  <si>
    <t>Vape Wholesale Store LTD</t>
  </si>
  <si>
    <t>C03577</t>
  </si>
  <si>
    <t>C03579</t>
  </si>
  <si>
    <t>UNIQUE WHOLESALE &amp; DISTRIBUTION LIMITED</t>
  </si>
  <si>
    <t>C03615</t>
  </si>
  <si>
    <t>Battersea Cloud City Vape</t>
  </si>
  <si>
    <t>C03721</t>
  </si>
  <si>
    <t>Good one deals cash and carry NEWCASTLE</t>
  </si>
  <si>
    <t>C03758</t>
  </si>
  <si>
    <t>Riot Squad</t>
  </si>
  <si>
    <t>C03764</t>
  </si>
  <si>
    <t>James Hall</t>
  </si>
  <si>
    <t>C03965</t>
  </si>
  <si>
    <t>Smart fix Mcr limited</t>
  </si>
  <si>
    <t>C03971</t>
  </si>
  <si>
    <t>Sathi</t>
  </si>
  <si>
    <t>C03986</t>
  </si>
  <si>
    <t>Drinks Distro LTD</t>
  </si>
  <si>
    <t>C04106</t>
  </si>
  <si>
    <t>Washington Vapes Vapes</t>
  </si>
  <si>
    <t>C04217</t>
  </si>
  <si>
    <t>KELUAR UK TRADING LIMITED</t>
  </si>
  <si>
    <t>C04252</t>
  </si>
  <si>
    <t>UZD Trading Ltd</t>
  </si>
  <si>
    <t>C04253</t>
  </si>
  <si>
    <t>vapers paradise</t>
  </si>
  <si>
    <t>C04255</t>
  </si>
  <si>
    <t>TNS Retail Limited</t>
  </si>
  <si>
    <t>C04329</t>
  </si>
  <si>
    <t>888 Vapour</t>
  </si>
  <si>
    <t>C04356</t>
  </si>
  <si>
    <t>Singhs Newcastle ltd</t>
  </si>
  <si>
    <t>C04415</t>
  </si>
  <si>
    <t>Bromley Cloud City Vapes</t>
  </si>
  <si>
    <t>C04448</t>
  </si>
  <si>
    <t>MCR VAPING LTD</t>
  </si>
  <si>
    <t>C04476</t>
  </si>
  <si>
    <t>Deepanshu Nath</t>
  </si>
  <si>
    <t>C04477</t>
  </si>
  <si>
    <t>Distroberry</t>
  </si>
  <si>
    <t>C04485</t>
  </si>
  <si>
    <t>BH DISTRIBUTIONS LTD</t>
  </si>
  <si>
    <t>C04487</t>
  </si>
  <si>
    <t>Berridge Waste Paper Ltd T/A Bakers Environmental Solutions</t>
  </si>
  <si>
    <t>C04499</t>
  </si>
  <si>
    <t>7th Generation - Ramkishan Singh</t>
  </si>
  <si>
    <t>C04500</t>
  </si>
  <si>
    <t>7th Generation - MOHINDER SINGH</t>
  </si>
  <si>
    <t>C04501</t>
  </si>
  <si>
    <t>7th Generation - Davin SINGH</t>
  </si>
  <si>
    <t>C04581</t>
  </si>
  <si>
    <t>7th Generation - Sanjeet Ram</t>
  </si>
  <si>
    <t>C04603</t>
  </si>
  <si>
    <t>Vape4World LTD - Tariq Shah</t>
  </si>
  <si>
    <t>C04618</t>
  </si>
  <si>
    <t>SM Innovation Ltd</t>
  </si>
  <si>
    <t>C04622</t>
  </si>
  <si>
    <t>CLK TRADE LIMITED</t>
  </si>
  <si>
    <t>C04630</t>
  </si>
  <si>
    <t>vape jungle (Hamilton421)</t>
  </si>
  <si>
    <t>C04645</t>
  </si>
  <si>
    <t>Palmyra Private Limited</t>
  </si>
  <si>
    <t>C04669</t>
  </si>
  <si>
    <t>Bindra distribution ltd</t>
  </si>
  <si>
    <t>C04685</t>
  </si>
  <si>
    <t>Shivji ltd T/A Post office Subash patel</t>
  </si>
  <si>
    <t>C04692</t>
  </si>
  <si>
    <t>Vapella</t>
  </si>
  <si>
    <t>C04729</t>
  </si>
  <si>
    <t>SK Wholesale Vaping Ltd</t>
  </si>
  <si>
    <t>C04760</t>
  </si>
  <si>
    <t>Friends UK LTD</t>
  </si>
  <si>
    <t>C04765</t>
  </si>
  <si>
    <t>Tom Andrews</t>
  </si>
  <si>
    <t>C04782</t>
  </si>
  <si>
    <t>Consumer Brands International S.R.O</t>
  </si>
  <si>
    <t>C04831</t>
  </si>
  <si>
    <t>Zavi Tech Ltd t/a Zavi Wholesale</t>
  </si>
  <si>
    <t>C04893</t>
  </si>
  <si>
    <t>VIP Bury Ltd - Scott Mclean</t>
  </si>
  <si>
    <t>C04894</t>
  </si>
  <si>
    <t>DMS Promotions Ltd t/a e-Vapes Jarod Cohen</t>
  </si>
  <si>
    <t>C04916</t>
  </si>
  <si>
    <t>Islington Cloud City Vape</t>
  </si>
  <si>
    <t>C04946</t>
  </si>
  <si>
    <t>Gummy traders limited</t>
  </si>
  <si>
    <t>C04955</t>
  </si>
  <si>
    <t>Naomi Curtis</t>
  </si>
  <si>
    <t>C05033</t>
  </si>
  <si>
    <t>888 vapour/ Nottingham</t>
  </si>
  <si>
    <t>C05034</t>
  </si>
  <si>
    <t>888 vapour/ Grantham</t>
  </si>
  <si>
    <t>C05035</t>
  </si>
  <si>
    <t>888 vapour/ Derbyrd</t>
  </si>
  <si>
    <t>C05036</t>
  </si>
  <si>
    <t>888 Vapour / Brimigton</t>
  </si>
  <si>
    <t>C05037</t>
  </si>
  <si>
    <t>888 Vapour / Chesterfield</t>
  </si>
  <si>
    <t>C05038</t>
  </si>
  <si>
    <t>888 Vapour / Worksop</t>
  </si>
  <si>
    <t>C05039</t>
  </si>
  <si>
    <t>888 Vapour / Lincoln 2</t>
  </si>
  <si>
    <t>C05040</t>
  </si>
  <si>
    <t>888 Vapour / Lincoln 1</t>
  </si>
  <si>
    <t>C05041</t>
  </si>
  <si>
    <t>888 Vapour / Spalding</t>
  </si>
  <si>
    <t>C05042</t>
  </si>
  <si>
    <t>888 Vapour / Peterborough</t>
  </si>
  <si>
    <t>C05043</t>
  </si>
  <si>
    <t>888 Vapour / Sleaford</t>
  </si>
  <si>
    <t>C05049</t>
  </si>
  <si>
    <t>888 Vapour / Newark</t>
  </si>
  <si>
    <t>C05051</t>
  </si>
  <si>
    <t>888 Vapour / Broomhall</t>
  </si>
  <si>
    <t>C05062</t>
  </si>
  <si>
    <t>888 Vapour / westbridgford</t>
  </si>
  <si>
    <t>C05071</t>
  </si>
  <si>
    <t>888 vapour/ Stamford</t>
  </si>
  <si>
    <t>C05074</t>
  </si>
  <si>
    <t>SHENZHEN SKE TECHNOLOGY CO., LTD</t>
  </si>
  <si>
    <t>C05100</t>
  </si>
  <si>
    <t>Cormac Folan</t>
  </si>
  <si>
    <t>C05108</t>
  </si>
  <si>
    <t>Omar Rabbani</t>
  </si>
  <si>
    <t>Grand totals</t>
  </si>
  <si>
    <t>Parmar, Sanjiv</t>
  </si>
  <si>
    <t>Mandeep Kohli</t>
  </si>
  <si>
    <t>Haider</t>
  </si>
  <si>
    <t>alex</t>
  </si>
  <si>
    <t>Khurram, Shaheryar</t>
  </si>
  <si>
    <t>IM</t>
  </si>
  <si>
    <t>Matt Pasternicki</t>
  </si>
  <si>
    <t>Tyler</t>
  </si>
  <si>
    <t>jay</t>
  </si>
  <si>
    <t>jatinder</t>
  </si>
  <si>
    <t>FAISAL</t>
  </si>
  <si>
    <t>Davin</t>
  </si>
  <si>
    <t xml:space="preserve"> </t>
  </si>
  <si>
    <t>14 days</t>
  </si>
  <si>
    <t>MOHINDER</t>
  </si>
  <si>
    <t>Ramkishan</t>
  </si>
  <si>
    <t>30 days</t>
  </si>
  <si>
    <t>Kuran</t>
  </si>
  <si>
    <t>+447506957921</t>
  </si>
  <si>
    <t>10 days</t>
  </si>
  <si>
    <t>Azim</t>
  </si>
  <si>
    <t>4.41E+12</t>
  </si>
  <si>
    <t>35 days</t>
  </si>
  <si>
    <t>Grover</t>
  </si>
  <si>
    <t>+44 7435 159405</t>
  </si>
  <si>
    <t>45 days</t>
  </si>
  <si>
    <t>Chris</t>
  </si>
  <si>
    <t>+44 7729 124533</t>
  </si>
  <si>
    <t>PAUL</t>
  </si>
  <si>
    <t>0203 044 2815</t>
  </si>
  <si>
    <t>james</t>
  </si>
  <si>
    <t>0121 386 3736</t>
  </si>
  <si>
    <t>Jeet</t>
  </si>
  <si>
    <t>+44 7412 939422</t>
  </si>
  <si>
    <t>Navdeep Singh</t>
  </si>
  <si>
    <t>+44 7466 697651</t>
  </si>
  <si>
    <t>Damien</t>
  </si>
  <si>
    <t>07951 500525</t>
  </si>
  <si>
    <t>Balbir</t>
  </si>
  <si>
    <t>+44 7487 450004</t>
  </si>
  <si>
    <t>Kuljit</t>
  </si>
  <si>
    <t>+44 7450 110708</t>
  </si>
  <si>
    <t>Bilal</t>
  </si>
  <si>
    <t>+44 121 306 9294</t>
  </si>
  <si>
    <t>Emile</t>
  </si>
  <si>
    <t>07972 771154</t>
  </si>
  <si>
    <t>James</t>
  </si>
  <si>
    <t>+447790708416</t>
  </si>
  <si>
    <t>60 days</t>
  </si>
  <si>
    <t>KULLY</t>
  </si>
  <si>
    <t>+44 7415 873249</t>
  </si>
  <si>
    <t>3 weeks</t>
  </si>
  <si>
    <t>Ashley</t>
  </si>
  <si>
    <t>4.47378E+11</t>
  </si>
  <si>
    <t>Serhat</t>
  </si>
  <si>
    <t>+447414770001</t>
  </si>
  <si>
    <t>Rajveer Singh Longani</t>
  </si>
  <si>
    <t>+44 7816 507374</t>
  </si>
  <si>
    <t>Mitalee</t>
  </si>
  <si>
    <t>7752505544</t>
  </si>
  <si>
    <t>Adrian 07444 997840</t>
  </si>
  <si>
    <t>07584 718055</t>
  </si>
  <si>
    <t>Jas</t>
  </si>
  <si>
    <t>+447440212699</t>
  </si>
  <si>
    <t>Raman Bal</t>
  </si>
  <si>
    <t>+447890115080</t>
  </si>
  <si>
    <t>Tajmeetsingh</t>
  </si>
  <si>
    <t>+44 7459 899636</t>
  </si>
  <si>
    <t>Adam</t>
  </si>
  <si>
    <t>01902 302063</t>
  </si>
  <si>
    <t>Dale</t>
  </si>
  <si>
    <t>+44 7944 022301</t>
  </si>
  <si>
    <t>Jugtar</t>
  </si>
  <si>
    <t>+447428883380</t>
  </si>
  <si>
    <t>07484121001</t>
  </si>
  <si>
    <t>+447403281814</t>
  </si>
  <si>
    <t>Satpal</t>
  </si>
  <si>
    <t>07590689113</t>
  </si>
  <si>
    <t>Angert</t>
  </si>
  <si>
    <t>+447878330497</t>
  </si>
  <si>
    <t>+447448208248</t>
  </si>
  <si>
    <t>Jane</t>
  </si>
  <si>
    <t>7960036617</t>
  </si>
  <si>
    <t>7 days</t>
  </si>
  <si>
    <t>Dalel</t>
  </si>
  <si>
    <t>+447944342156</t>
  </si>
  <si>
    <t>Josh</t>
  </si>
  <si>
    <t>Scott McLean</t>
  </si>
  <si>
    <t>+44 7875 411144</t>
  </si>
  <si>
    <t>Ghulam Dastageer</t>
  </si>
  <si>
    <t>+44 7440 512552</t>
  </si>
  <si>
    <t>Bhavik</t>
  </si>
  <si>
    <t>+44 7459 326322</t>
  </si>
  <si>
    <t>First name</t>
  </si>
  <si>
    <t>Phone number</t>
  </si>
  <si>
    <t>Terms</t>
  </si>
  <si>
    <t>final total</t>
  </si>
  <si>
    <t>Rep</t>
  </si>
  <si>
    <t>27/10/2026</t>
  </si>
  <si>
    <t>Customer aging report including bank transactions upto 26/10/2026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</si>
</sst>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Calibri"/>
      <family val="2"/>
    </font>
    <font>
      <b/>
      <sz val="13"/>
      <color theme="3"/>
      <name val="Calibri"/>
      <family val="2"/>
    </font>
    <font>
      <b/>
      <sz val="11"/>
      <color theme="3"/>
      <name val="Calibri"/>
      <family val="2"/>
    </font>
    <font>
      <sz val="11"/>
      <color rgb="FF006100"/>
      <name val="Calibri"/>
      <family val="2"/>
    </font>
    <font>
      <sz val="11"/>
      <color rgb="FF9C0006"/>
      <name val="Calibri"/>
      <family val="2"/>
    </font>
    <font>
      <sz val="11"/>
      <color rgb="FF9C5700"/>
      <name val="Calibri"/>
      <family val="2"/>
    </font>
    <font>
      <sz val="11"/>
      <color rgb="FF3F3F76"/>
      <name val="Calibri"/>
      <family val="2"/>
    </font>
    <font>
      <b/>
      <sz val="11"/>
      <color rgb="FF3F3F3F"/>
      <name val="Calibri"/>
      <family val="2"/>
    </font>
    <font>
      <b/>
      <sz val="11"/>
      <color rgb="FFFA7D00"/>
      <name val="Calibri"/>
      <family val="2"/>
    </font>
    <font>
      <sz val="11"/>
      <color rgb="FFFA7D00"/>
      <name val="Calibri"/>
      <family val="2"/>
    </font>
    <font>
      <b/>
      <sz val="11"/>
      <color theme="0"/>
      <name val="Calibri"/>
      <family val="2"/>
    </font>
    <font>
      <sz val="11"/>
      <color rgb="FFFF0000"/>
      <name val="Calibri"/>
      <family val="2"/>
    </font>
    <font>
      <i/>
      <sz val="11"/>
      <color rgb="FF7F7F7F"/>
      <name val="Calibri"/>
      <family val="2"/>
    </font>
    <font>
      <b/>
      <sz val="11"/>
      <color theme="1"/>
      <name val="Calibri"/>
      <family val="2"/>
    </font>
    <font>
      <sz val="11"/>
      <color theme="0"/>
      <name val="Calibri"/>
      <family val="2"/>
    </font>
    <font>
      <sz val="7"/>
      <color rgb="FF000000"/>
      <name val="Arial"/>
      <family val="2"/>
    </font>
    <font>
      <b/>
      <sz val="8"/>
      <color rgb="FF000000"/>
      <name val="Verdana"/>
      <family val="2"/>
    </font>
    <font>
      <sz val="8"/>
      <color rgb="FF000000"/>
      <name val="Verdana"/>
      <family val="2"/>
    </font>
    <font>
      <b/>
      <sz val="8"/>
      <color theme="1"/>
      <name val="Verdana"/>
      <family val="2"/>
    </font>
    <font>
      <b/>
      <sz val="18"/>
      <color theme="1"/>
      <name val="Verdana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5C646"/>
        <bgColor indexed="64"/>
      </patternFill>
    </fill>
    <fill>
      <patternFill patternType="solid">
        <fgColor rgb="FFCEDEEF"/>
        <bgColor indexed="64"/>
      </patternFill>
    </fill>
    <fill>
      <patternFill patternType="solid">
        <fgColor theme="4" tint="0.59999389629810485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rgb="FFFFFFFF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33" borderId="0" applyNumberFormat="0" applyAlignment="0" applyProtection="0"/>
    <xf numFmtId="0" fontId="18" fillId="33" borderId="0" applyNumberFormat="0" applyAlignment="0" applyProtection="0"/>
  </cellStyleXfs>
  <cellXfs count="37">
    <xf numFmtId="0" fontId="0" fillId="0" borderId="0" xfId="0"/>
    <xf numFmtId="49" fontId="21" fillId="34" borderId="10" xfId="0" applyNumberFormat="1" applyFont="1" applyFill="1" applyBorder="1" applyAlignment="1">
      <alignment horizontal="left" vertical="top" indent="1"/>
    </xf>
    <xf numFmtId="49" fontId="21" fillId="34" borderId="10" xfId="0" applyNumberFormat="1" applyFont="1" applyFill="1" applyBorder="1" applyAlignment="1">
      <alignment horizontal="right" vertical="top" indent="1"/>
    </xf>
    <xf numFmtId="0" fontId="20" fillId="0" borderId="0" xfId="0" applyFont="1" applyAlignment="1">
      <alignment horizontal="left" vertical="top" indent="1"/>
    </xf>
    <xf numFmtId="0" fontId="20" fillId="0" borderId="0" xfId="0" applyFont="1" applyAlignment="1">
      <alignment horizontal="right" vertical="top" indent="1"/>
    </xf>
    <xf numFmtId="4" fontId="19" fillId="0" borderId="0" xfId="0" applyNumberFormat="1" applyFont="1" applyAlignment="1">
      <alignment horizontal="right" vertical="top" wrapText="1" indent="1"/>
    </xf>
    <xf numFmtId="4" fontId="20" fillId="0" borderId="0" xfId="0" applyNumberFormat="1" applyFont="1" applyAlignment="1">
      <alignment horizontal="right" vertical="top" indent="1"/>
    </xf>
    <xf numFmtId="0" fontId="19" fillId="0" borderId="0" xfId="0" applyFont="1" applyAlignment="1">
      <alignment horizontal="left" vertical="top" indent="1"/>
    </xf>
    <xf numFmtId="4" fontId="21" fillId="0" borderId="11" xfId="0" applyNumberFormat="1" applyFont="1" applyBorder="1" applyAlignment="1">
      <alignment horizontal="right" vertical="top" indent="1"/>
    </xf>
    <xf numFmtId="0" fontId="22" fillId="0" borderId="0" xfId="0" applyFont="1"/>
    <xf numFmtId="4" fontId="19" fillId="0" borderId="0" xfId="0" applyNumberFormat="1" applyFont="1" applyAlignment="1">
      <alignment horizontal="right" vertical="top" indent="1"/>
    </xf>
    <xf numFmtId="0" fontId="20" fillId="0" borderId="12" xfId="0" applyFont="1" applyBorder="1" applyAlignment="1">
      <alignment horizontal="left" vertical="top" indent="1"/>
    </xf>
    <xf numFmtId="4" fontId="20" fillId="0" borderId="12" xfId="0" applyNumberFormat="1" applyFont="1" applyBorder="1" applyAlignment="1">
      <alignment horizontal="right" vertical="top" indent="1"/>
    </xf>
    <xf numFmtId="0" fontId="20" fillId="0" borderId="12" xfId="0" applyFont="1" applyBorder="1" applyAlignment="1">
      <alignment horizontal="right" vertical="top" indent="1"/>
    </xf>
    <xf numFmtId="4" fontId="19" fillId="0" borderId="12" xfId="0" applyNumberFormat="1" applyFont="1" applyBorder="1" applyAlignment="1">
      <alignment horizontal="right" vertical="top" wrapText="1" indent="1"/>
    </xf>
    <xf numFmtId="4" fontId="19" fillId="0" borderId="12" xfId="0" applyNumberFormat="1" applyFont="1" applyBorder="1" applyAlignment="1">
      <alignment horizontal="right" vertical="top" indent="1"/>
    </xf>
    <xf numFmtId="0" fontId="20" fillId="0" borderId="0" xfId="0" applyFont="1" applyBorder="1" applyAlignment="1">
      <alignment horizontal="left" vertical="top" indent="1"/>
    </xf>
    <xf numFmtId="4" fontId="20" fillId="0" borderId="0" xfId="0" applyNumberFormat="1" applyFont="1" applyBorder="1" applyAlignment="1">
      <alignment horizontal="right" vertical="top" indent="1"/>
    </xf>
    <xf numFmtId="0" fontId="20" fillId="0" borderId="0" xfId="0" applyFont="1" applyBorder="1" applyAlignment="1">
      <alignment horizontal="right" vertical="top" indent="1"/>
    </xf>
    <xf numFmtId="4" fontId="19" fillId="0" borderId="0" xfId="0" applyNumberFormat="1" applyFont="1" applyBorder="1" applyAlignment="1">
      <alignment horizontal="right" vertical="top" wrapText="1" indent="1"/>
    </xf>
    <xf numFmtId="4" fontId="19" fillId="0" borderId="0" xfId="0" applyNumberFormat="1" applyFont="1" applyBorder="1" applyAlignment="1">
      <alignment horizontal="right" vertical="top" indent="1"/>
    </xf>
    <xf numFmtId="0" fontId="20" fillId="0" borderId="0" xfId="0" applyFont="1" applyFill="1" applyBorder="1" applyAlignment="1">
      <alignment horizontal="left" vertical="top" indent="1"/>
    </xf>
    <xf numFmtId="4" fontId="20" fillId="0" borderId="0" xfId="0" applyNumberFormat="1" applyFont="1" applyFill="1" applyBorder="1" applyAlignment="1">
      <alignment horizontal="right" vertical="top" indent="1"/>
    </xf>
    <xf numFmtId="0" fontId="20" fillId="0" borderId="0" xfId="0" applyFont="1" applyFill="1" applyBorder="1" applyAlignment="1">
      <alignment horizontal="right" vertical="top" indent="1"/>
    </xf>
    <xf numFmtId="4" fontId="19" fillId="0" borderId="0" xfId="0" applyNumberFormat="1" applyFont="1" applyFill="1" applyBorder="1" applyAlignment="1">
      <alignment horizontal="right" vertical="top" wrapText="1" indent="1"/>
    </xf>
    <xf numFmtId="4" fontId="19" fillId="0" borderId="0" xfId="0" applyNumberFormat="1" applyFont="1" applyFill="1" applyBorder="1" applyAlignment="1">
      <alignment horizontal="right" vertical="top" indent="1"/>
    </xf>
    <xf numFmtId="0" fontId="20" fillId="0" borderId="12" xfId="0" applyFont="1" applyFill="1" applyBorder="1" applyAlignment="1">
      <alignment horizontal="left" vertical="top" indent="1"/>
    </xf>
    <xf numFmtId="4" fontId="20" fillId="0" borderId="12" xfId="0" applyNumberFormat="1" applyFont="1" applyFill="1" applyBorder="1" applyAlignment="1">
      <alignment horizontal="right" vertical="top" indent="1"/>
    </xf>
    <xf numFmtId="0" fontId="20" fillId="0" borderId="12" xfId="0" applyFont="1" applyFill="1" applyBorder="1" applyAlignment="1">
      <alignment horizontal="right" vertical="top" indent="1"/>
    </xf>
    <xf numFmtId="4" fontId="19" fillId="0" borderId="12" xfId="0" applyNumberFormat="1" applyFont="1" applyFill="1" applyBorder="1" applyAlignment="1">
      <alignment horizontal="right" vertical="top" wrapText="1" indent="1"/>
    </xf>
    <xf numFmtId="4" fontId="19" fillId="0" borderId="12" xfId="0" applyNumberFormat="1" applyFont="1" applyFill="1" applyBorder="1" applyAlignment="1">
      <alignment horizontal="right" vertical="top" indent="1"/>
    </xf>
    <xf numFmtId="0" fontId="20" fillId="0" borderId="0" xfId="0" applyFont="1" applyFill="1" applyAlignment="1">
      <alignment horizontal="left" vertical="top" indent="1"/>
    </xf>
    <xf numFmtId="0" fontId="20" fillId="35" borderId="0" xfId="0" applyFont="1" applyFill="1" applyAlignment="1">
      <alignment horizontal="left" vertical="top" indent="1"/>
    </xf>
    <xf numFmtId="4" fontId="20" fillId="35" borderId="0" xfId="0" applyNumberFormat="1" applyFont="1" applyFill="1" applyAlignment="1">
      <alignment horizontal="right" vertical="top" indent="1"/>
    </xf>
    <xf numFmtId="0" fontId="20" fillId="35" borderId="0" xfId="0" applyFont="1" applyFill="1" applyAlignment="1">
      <alignment horizontal="right" vertical="top" indent="1"/>
    </xf>
    <xf numFmtId="4" fontId="19" fillId="35" borderId="0" xfId="0" applyNumberFormat="1" applyFont="1" applyFill="1" applyAlignment="1">
      <alignment horizontal="right" vertical="top" wrapText="1" indent="1"/>
    </xf>
    <xf numFmtId="4" fontId="19" fillId="35" borderId="0" xfId="0" applyNumberFormat="1" applyFont="1" applyFill="1" applyAlignment="1">
      <alignment horizontal="right" vertical="top" indent="1"/>
    </xf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Followed Hyperlink" xfId="43" builtinId="9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B5F813-9A39-4FDC-A11F-8244801218AF}">
  <dimension ref="A1:N174"/>
  <sheetViews>
    <sheetView showGridLines="0" tabSelected="1" workbookViewId="0">
      <selection activeCell="M10" sqref="M10"/>
    </sheetView>
  </sheetViews>
  <sheetFormatPr defaultRowHeight="15" x14ac:dyDescent="0.25"/>
  <cols>
    <col min="1" max="1" width="16" bestFit="1" customWidth="1"/>
    <col min="2" max="2" width="36.5703125" bestFit="1" customWidth="1"/>
    <col min="3" max="3" width="19.7109375" customWidth="1"/>
    <col min="4" max="4" width="21.28515625" customWidth="1"/>
    <col min="5" max="5" width="18.85546875" customWidth="1"/>
    <col min="6" max="6" width="14.42578125" bestFit="1" customWidth="1"/>
    <col min="7" max="7" width="14.5703125" customWidth="1"/>
    <col min="8" max="9" width="12.28515625" bestFit="1" customWidth="1"/>
    <col min="10" max="10" width="13.5703125" bestFit="1" customWidth="1"/>
    <col min="11" max="11" width="14.42578125" bestFit="1" customWidth="1"/>
    <col min="12" max="12" width="13.5703125" customWidth="1"/>
    <col min="13" max="13" width="16.5703125" customWidth="1"/>
    <col min="14" max="14" width="14.42578125" bestFit="1" customWidth="1"/>
  </cols>
  <sheetData>
    <row r="1" spans="1:14" ht="22.5" x14ac:dyDescent="0.3">
      <c r="A1" s="9" t="s">
        <v>381</v>
      </c>
    </row>
    <row r="3" spans="1:14" ht="15.75" thickBot="1" x14ac:dyDescent="0.3">
      <c r="A3" s="1" t="s">
        <v>0</v>
      </c>
      <c r="B3" s="1" t="s">
        <v>1</v>
      </c>
      <c r="C3" s="1" t="s">
        <v>375</v>
      </c>
      <c r="D3" s="1" t="s">
        <v>376</v>
      </c>
      <c r="E3" s="1" t="s">
        <v>377</v>
      </c>
      <c r="F3" s="2" t="s">
        <v>2</v>
      </c>
      <c r="G3" s="2" t="s">
        <v>3</v>
      </c>
      <c r="H3" s="2" t="s">
        <v>4</v>
      </c>
      <c r="I3" s="2" t="s">
        <v>5</v>
      </c>
      <c r="J3" s="2" t="s">
        <v>6</v>
      </c>
      <c r="K3" s="2" t="s">
        <v>7</v>
      </c>
      <c r="L3" s="2" t="s">
        <v>380</v>
      </c>
      <c r="M3" s="2" t="s">
        <v>378</v>
      </c>
      <c r="N3" s="2" t="s">
        <v>379</v>
      </c>
    </row>
    <row r="4" spans="1:14" x14ac:dyDescent="0.25">
      <c r="A4" s="26" t="s">
        <v>259</v>
      </c>
      <c r="B4" s="26" t="s">
        <v>260</v>
      </c>
      <c r="C4" s="26"/>
      <c r="D4" s="26"/>
      <c r="E4" s="26" t="s">
        <v>298</v>
      </c>
      <c r="F4" s="27">
        <v>2988.96</v>
      </c>
      <c r="G4" s="28">
        <v>554.77</v>
      </c>
      <c r="H4" s="28">
        <v>0</v>
      </c>
      <c r="I4" s="28">
        <v>0</v>
      </c>
      <c r="J4" s="28">
        <v>0</v>
      </c>
      <c r="K4" s="29">
        <v>3543.73</v>
      </c>
      <c r="L4" s="28"/>
      <c r="M4" s="30">
        <v>3543.73</v>
      </c>
      <c r="N4" s="26" t="s">
        <v>283</v>
      </c>
    </row>
    <row r="5" spans="1:14" x14ac:dyDescent="0.25">
      <c r="A5" s="26" t="s">
        <v>267</v>
      </c>
      <c r="B5" s="26" t="s">
        <v>268</v>
      </c>
      <c r="C5" s="26"/>
      <c r="D5" s="26"/>
      <c r="E5" s="26" t="s">
        <v>298</v>
      </c>
      <c r="F5" s="27">
        <v>1805.28</v>
      </c>
      <c r="G5" s="28">
        <v>518.48</v>
      </c>
      <c r="H5" s="28">
        <v>0</v>
      </c>
      <c r="I5" s="28">
        <v>0</v>
      </c>
      <c r="J5" s="28">
        <v>0</v>
      </c>
      <c r="K5" s="29">
        <v>2323.7600000000002</v>
      </c>
      <c r="L5" s="28"/>
      <c r="M5" s="30">
        <v>2323.7600000000002</v>
      </c>
      <c r="N5" s="26" t="s">
        <v>283</v>
      </c>
    </row>
    <row r="6" spans="1:14" x14ac:dyDescent="0.25">
      <c r="A6" s="26" t="s">
        <v>263</v>
      </c>
      <c r="B6" s="26" t="s">
        <v>264</v>
      </c>
      <c r="C6" s="26"/>
      <c r="D6" s="26"/>
      <c r="E6" s="26" t="s">
        <v>298</v>
      </c>
      <c r="F6" s="28">
        <v>776.06</v>
      </c>
      <c r="G6" s="28">
        <v>203.16</v>
      </c>
      <c r="H6" s="28">
        <v>0</v>
      </c>
      <c r="I6" s="28">
        <v>0</v>
      </c>
      <c r="J6" s="28">
        <v>0</v>
      </c>
      <c r="K6" s="29">
        <v>979.21999999999991</v>
      </c>
      <c r="L6" s="28"/>
      <c r="M6" s="30">
        <v>979.21999999999991</v>
      </c>
      <c r="N6" s="26" t="s">
        <v>283</v>
      </c>
    </row>
    <row r="7" spans="1:14" x14ac:dyDescent="0.25">
      <c r="A7" s="26" t="s">
        <v>247</v>
      </c>
      <c r="B7" s="26" t="s">
        <v>248</v>
      </c>
      <c r="C7" s="26"/>
      <c r="D7" s="26"/>
      <c r="E7" s="26" t="s">
        <v>298</v>
      </c>
      <c r="F7" s="27">
        <v>6532.96</v>
      </c>
      <c r="G7" s="28">
        <v>989.07</v>
      </c>
      <c r="H7" s="28">
        <v>0</v>
      </c>
      <c r="I7" s="28">
        <v>0</v>
      </c>
      <c r="J7" s="28">
        <v>0</v>
      </c>
      <c r="K7" s="29">
        <v>7522.03</v>
      </c>
      <c r="L7" s="28"/>
      <c r="M7" s="30">
        <v>7522.03</v>
      </c>
      <c r="N7" s="26" t="s">
        <v>283</v>
      </c>
    </row>
    <row r="8" spans="1:14" x14ac:dyDescent="0.25">
      <c r="A8" s="26" t="s">
        <v>273</v>
      </c>
      <c r="B8" s="26" t="s">
        <v>274</v>
      </c>
      <c r="C8" s="26"/>
      <c r="D8" s="26"/>
      <c r="E8" s="26" t="s">
        <v>298</v>
      </c>
      <c r="F8" s="27">
        <v>1256.4100000000001</v>
      </c>
      <c r="G8" s="28">
        <v>834.12</v>
      </c>
      <c r="H8" s="28">
        <v>0</v>
      </c>
      <c r="I8" s="28">
        <v>0</v>
      </c>
      <c r="J8" s="28">
        <v>0</v>
      </c>
      <c r="K8" s="29">
        <v>2090.5300000000002</v>
      </c>
      <c r="L8" s="28"/>
      <c r="M8" s="30">
        <v>2090.5300000000002</v>
      </c>
      <c r="N8" s="26" t="s">
        <v>283</v>
      </c>
    </row>
    <row r="9" spans="1:14" x14ac:dyDescent="0.25">
      <c r="A9" s="26" t="s">
        <v>161</v>
      </c>
      <c r="B9" s="26" t="s">
        <v>162</v>
      </c>
      <c r="C9" s="26"/>
      <c r="D9" s="26"/>
      <c r="E9" s="26"/>
      <c r="F9" s="28">
        <v>0</v>
      </c>
      <c r="G9" s="27">
        <v>1513.26</v>
      </c>
      <c r="H9" s="28">
        <v>0</v>
      </c>
      <c r="I9" s="28">
        <v>0</v>
      </c>
      <c r="J9" s="28">
        <v>0</v>
      </c>
      <c r="K9" s="29">
        <v>1513.26</v>
      </c>
      <c r="L9" s="28"/>
      <c r="M9" s="30">
        <v>1513.26</v>
      </c>
      <c r="N9" s="26" t="s">
        <v>283</v>
      </c>
    </row>
    <row r="10" spans="1:14" x14ac:dyDescent="0.25">
      <c r="A10" s="26" t="s">
        <v>197</v>
      </c>
      <c r="B10" s="26" t="s">
        <v>198</v>
      </c>
      <c r="C10" s="26" t="s">
        <v>299</v>
      </c>
      <c r="D10" s="26" t="s">
        <v>300</v>
      </c>
      <c r="E10" s="26" t="s">
        <v>298</v>
      </c>
      <c r="F10" s="27">
        <v>65336.160000000003</v>
      </c>
      <c r="G10" s="27">
        <v>52399.68</v>
      </c>
      <c r="H10" s="28">
        <v>0</v>
      </c>
      <c r="I10" s="28">
        <v>0</v>
      </c>
      <c r="J10" s="28">
        <v>0</v>
      </c>
      <c r="K10" s="29">
        <v>117735.84</v>
      </c>
      <c r="L10" s="28"/>
      <c r="M10" s="30">
        <v>117735.84</v>
      </c>
      <c r="N10" s="26" t="s">
        <v>283</v>
      </c>
    </row>
    <row r="11" spans="1:14" x14ac:dyDescent="0.25">
      <c r="A11" s="26" t="s">
        <v>132</v>
      </c>
      <c r="B11" s="26" t="s">
        <v>133</v>
      </c>
      <c r="C11" s="26"/>
      <c r="D11" s="26"/>
      <c r="E11" s="26" t="s">
        <v>298</v>
      </c>
      <c r="F11" s="28">
        <v>0</v>
      </c>
      <c r="G11" s="28">
        <v>0</v>
      </c>
      <c r="H11" s="28">
        <v>0</v>
      </c>
      <c r="I11" s="28">
        <v>0</v>
      </c>
      <c r="J11" s="27">
        <v>3871.43</v>
      </c>
      <c r="K11" s="29">
        <v>3871.43</v>
      </c>
      <c r="L11" s="27"/>
      <c r="M11" s="30">
        <v>3871.43</v>
      </c>
      <c r="N11" s="26" t="s">
        <v>283</v>
      </c>
    </row>
    <row r="12" spans="1:14" x14ac:dyDescent="0.25">
      <c r="A12" s="26" t="s">
        <v>12</v>
      </c>
      <c r="B12" s="26" t="s">
        <v>13</v>
      </c>
      <c r="C12" s="26" t="s">
        <v>308</v>
      </c>
      <c r="D12" s="26" t="s">
        <v>309</v>
      </c>
      <c r="E12" s="26" t="s">
        <v>298</v>
      </c>
      <c r="F12" s="28">
        <v>0</v>
      </c>
      <c r="G12" s="28">
        <v>0</v>
      </c>
      <c r="H12" s="28">
        <v>0</v>
      </c>
      <c r="I12" s="28">
        <v>0</v>
      </c>
      <c r="J12" s="27">
        <v>1333.31</v>
      </c>
      <c r="K12" s="29">
        <v>1333.31</v>
      </c>
      <c r="L12" s="27"/>
      <c r="M12" s="30">
        <v>1333.31</v>
      </c>
      <c r="N12" s="26" t="s">
        <v>283</v>
      </c>
    </row>
    <row r="13" spans="1:14" x14ac:dyDescent="0.25">
      <c r="A13" s="26" t="s">
        <v>173</v>
      </c>
      <c r="B13" s="26" t="s">
        <v>174</v>
      </c>
      <c r="C13" s="26"/>
      <c r="D13" s="26"/>
      <c r="E13" s="26"/>
      <c r="F13" s="27">
        <v>2915.76</v>
      </c>
      <c r="G13" s="28">
        <v>748.08</v>
      </c>
      <c r="H13" s="28">
        <v>0</v>
      </c>
      <c r="I13" s="28">
        <v>0</v>
      </c>
      <c r="J13" s="28">
        <v>0</v>
      </c>
      <c r="K13" s="29">
        <v>3663.84</v>
      </c>
      <c r="L13" s="28"/>
      <c r="M13" s="30">
        <v>3663.84</v>
      </c>
      <c r="N13" s="26" t="s">
        <v>283</v>
      </c>
    </row>
    <row r="14" spans="1:14" x14ac:dyDescent="0.25">
      <c r="A14" s="26" t="s">
        <v>22</v>
      </c>
      <c r="B14" s="26" t="s">
        <v>23</v>
      </c>
      <c r="C14" s="26" t="s">
        <v>314</v>
      </c>
      <c r="D14" s="26" t="s">
        <v>315</v>
      </c>
      <c r="E14" s="26" t="s">
        <v>298</v>
      </c>
      <c r="F14" s="27">
        <v>9600.48</v>
      </c>
      <c r="G14" s="27">
        <v>8316</v>
      </c>
      <c r="H14" s="28">
        <v>0</v>
      </c>
      <c r="I14" s="28">
        <v>0</v>
      </c>
      <c r="J14" s="28">
        <v>0</v>
      </c>
      <c r="K14" s="29">
        <v>17916.48</v>
      </c>
      <c r="L14" s="28"/>
      <c r="M14" s="30">
        <v>17916.48</v>
      </c>
      <c r="N14" s="26" t="s">
        <v>283</v>
      </c>
    </row>
    <row r="15" spans="1:14" x14ac:dyDescent="0.25">
      <c r="A15" s="26" t="s">
        <v>90</v>
      </c>
      <c r="B15" s="26" t="s">
        <v>91</v>
      </c>
      <c r="C15" s="26" t="s">
        <v>318</v>
      </c>
      <c r="D15" s="26" t="s">
        <v>319</v>
      </c>
      <c r="E15" s="26" t="s">
        <v>298</v>
      </c>
      <c r="F15" s="28">
        <v>0</v>
      </c>
      <c r="G15" s="28">
        <v>0</v>
      </c>
      <c r="H15" s="28">
        <v>0</v>
      </c>
      <c r="I15" s="28">
        <v>0</v>
      </c>
      <c r="J15" s="27">
        <v>1116.96</v>
      </c>
      <c r="K15" s="29">
        <v>1116.96</v>
      </c>
      <c r="L15" s="27"/>
      <c r="M15" s="30">
        <v>1116.96</v>
      </c>
      <c r="N15" s="26" t="s">
        <v>283</v>
      </c>
    </row>
    <row r="16" spans="1:14" x14ac:dyDescent="0.25">
      <c r="A16" s="26" t="s">
        <v>122</v>
      </c>
      <c r="B16" s="26" t="s">
        <v>123</v>
      </c>
      <c r="C16" s="26"/>
      <c r="D16" s="26"/>
      <c r="E16" s="26"/>
      <c r="F16" s="28">
        <v>0</v>
      </c>
      <c r="G16" s="27">
        <v>3000</v>
      </c>
      <c r="H16" s="28">
        <v>0</v>
      </c>
      <c r="I16" s="28">
        <v>0</v>
      </c>
      <c r="J16" s="28">
        <v>0</v>
      </c>
      <c r="K16" s="29">
        <v>3000</v>
      </c>
      <c r="L16" s="28"/>
      <c r="M16" s="30">
        <v>3000</v>
      </c>
      <c r="N16" s="26">
        <v>0</v>
      </c>
    </row>
    <row r="17" spans="1:14" x14ac:dyDescent="0.25">
      <c r="A17" s="26" t="s">
        <v>140</v>
      </c>
      <c r="B17" s="26" t="s">
        <v>141</v>
      </c>
      <c r="C17" s="26"/>
      <c r="D17" s="26"/>
      <c r="E17" s="26"/>
      <c r="F17" s="27">
        <v>2193.62</v>
      </c>
      <c r="G17" s="27">
        <v>2618.4499999999998</v>
      </c>
      <c r="H17" s="28">
        <v>0</v>
      </c>
      <c r="I17" s="28">
        <v>0</v>
      </c>
      <c r="J17" s="28">
        <v>0</v>
      </c>
      <c r="K17" s="29">
        <v>4812.07</v>
      </c>
      <c r="L17" s="28"/>
      <c r="M17" s="30">
        <v>4812.07</v>
      </c>
      <c r="N17" s="26" t="s">
        <v>283</v>
      </c>
    </row>
    <row r="18" spans="1:14" x14ac:dyDescent="0.25">
      <c r="A18" s="26" t="s">
        <v>167</v>
      </c>
      <c r="B18" s="26" t="s">
        <v>168</v>
      </c>
      <c r="C18" s="26" t="s">
        <v>328</v>
      </c>
      <c r="D18" s="26" t="s">
        <v>329</v>
      </c>
      <c r="E18" s="26" t="s">
        <v>330</v>
      </c>
      <c r="F18" s="27">
        <v>15876</v>
      </c>
      <c r="G18" s="27">
        <v>29146.5</v>
      </c>
      <c r="H18" s="28">
        <v>21</v>
      </c>
      <c r="I18" s="28">
        <v>0</v>
      </c>
      <c r="J18" s="28">
        <v>312</v>
      </c>
      <c r="K18" s="29">
        <v>45355.5</v>
      </c>
      <c r="L18" s="28"/>
      <c r="M18" s="30">
        <v>45355.5</v>
      </c>
      <c r="N18" s="26" t="s">
        <v>287</v>
      </c>
    </row>
    <row r="19" spans="1:14" x14ac:dyDescent="0.25">
      <c r="A19" s="26" t="s">
        <v>191</v>
      </c>
      <c r="B19" s="26" t="s">
        <v>192</v>
      </c>
      <c r="C19" s="26" t="s">
        <v>338</v>
      </c>
      <c r="D19" s="26" t="s">
        <v>339</v>
      </c>
      <c r="E19" s="26" t="s">
        <v>298</v>
      </c>
      <c r="F19" s="28">
        <v>0</v>
      </c>
      <c r="G19" s="28">
        <v>0</v>
      </c>
      <c r="H19" s="27">
        <v>20000</v>
      </c>
      <c r="I19" s="28">
        <v>0</v>
      </c>
      <c r="J19" s="28">
        <v>0</v>
      </c>
      <c r="K19" s="29">
        <v>20000</v>
      </c>
      <c r="L19" s="28"/>
      <c r="M19" s="30">
        <v>20000</v>
      </c>
      <c r="N19" s="26" t="s">
        <v>284</v>
      </c>
    </row>
    <row r="20" spans="1:14" x14ac:dyDescent="0.25">
      <c r="A20" s="26" t="s">
        <v>66</v>
      </c>
      <c r="B20" s="26" t="s">
        <v>67</v>
      </c>
      <c r="C20" s="26" t="s">
        <v>340</v>
      </c>
      <c r="D20" s="26" t="s">
        <v>341</v>
      </c>
      <c r="E20" s="26" t="s">
        <v>298</v>
      </c>
      <c r="F20" s="28">
        <v>0</v>
      </c>
      <c r="G20" s="28">
        <v>0</v>
      </c>
      <c r="H20" s="28">
        <v>0</v>
      </c>
      <c r="I20" s="28">
        <v>0</v>
      </c>
      <c r="J20" s="27">
        <v>13182.26</v>
      </c>
      <c r="K20" s="29">
        <v>13182.26</v>
      </c>
      <c r="L20" s="27"/>
      <c r="M20" s="30">
        <v>13182.26</v>
      </c>
      <c r="N20" s="26" t="s">
        <v>283</v>
      </c>
    </row>
    <row r="21" spans="1:14" x14ac:dyDescent="0.25">
      <c r="A21" s="26" t="s">
        <v>243</v>
      </c>
      <c r="B21" s="26" t="s">
        <v>244</v>
      </c>
      <c r="C21" s="26"/>
      <c r="D21" s="26"/>
      <c r="E21" s="26"/>
      <c r="F21" s="27">
        <v>7157.27</v>
      </c>
      <c r="G21" s="27">
        <v>1624.06</v>
      </c>
      <c r="H21" s="28">
        <v>0</v>
      </c>
      <c r="I21" s="28">
        <v>0</v>
      </c>
      <c r="J21" s="28">
        <v>0</v>
      </c>
      <c r="K21" s="29">
        <v>8781.33</v>
      </c>
      <c r="L21" s="28"/>
      <c r="M21" s="30">
        <v>8781.33</v>
      </c>
      <c r="N21" s="26" t="s">
        <v>285</v>
      </c>
    </row>
    <row r="22" spans="1:14" x14ac:dyDescent="0.25">
      <c r="A22" s="26" t="s">
        <v>50</v>
      </c>
      <c r="B22" s="26" t="s">
        <v>51</v>
      </c>
      <c r="C22" s="26" t="s">
        <v>342</v>
      </c>
      <c r="D22" s="26" t="s">
        <v>343</v>
      </c>
      <c r="E22" s="26" t="s">
        <v>298</v>
      </c>
      <c r="F22" s="28">
        <v>0</v>
      </c>
      <c r="G22" s="28">
        <v>0</v>
      </c>
      <c r="H22" s="28">
        <v>0</v>
      </c>
      <c r="I22" s="28">
        <v>0</v>
      </c>
      <c r="J22" s="27">
        <v>6087.51</v>
      </c>
      <c r="K22" s="29">
        <v>6087.51</v>
      </c>
      <c r="L22" s="27"/>
      <c r="M22" s="30">
        <v>6087.51</v>
      </c>
      <c r="N22" s="26" t="s">
        <v>283</v>
      </c>
    </row>
    <row r="23" spans="1:14" x14ac:dyDescent="0.25">
      <c r="A23" s="26" t="s">
        <v>58</v>
      </c>
      <c r="B23" s="26" t="s">
        <v>59</v>
      </c>
      <c r="C23" s="26"/>
      <c r="D23" s="26"/>
      <c r="E23" s="26"/>
      <c r="F23" s="27">
        <v>24493.200000000001</v>
      </c>
      <c r="G23" s="27">
        <v>16826.400000000001</v>
      </c>
      <c r="H23" s="28">
        <v>0</v>
      </c>
      <c r="I23" s="28">
        <v>0</v>
      </c>
      <c r="J23" s="28">
        <v>0</v>
      </c>
      <c r="K23" s="29">
        <v>41319.600000000006</v>
      </c>
      <c r="L23" s="28"/>
      <c r="M23" s="30">
        <v>41319.600000000006</v>
      </c>
      <c r="N23" s="26" t="s">
        <v>283</v>
      </c>
    </row>
    <row r="24" spans="1:14" x14ac:dyDescent="0.25">
      <c r="A24" s="26" t="s">
        <v>275</v>
      </c>
      <c r="B24" s="26" t="s">
        <v>276</v>
      </c>
      <c r="C24" s="26"/>
      <c r="D24" s="26"/>
      <c r="E24" s="26"/>
      <c r="F24" s="27">
        <v>-48896.54</v>
      </c>
      <c r="G24" s="27">
        <v>100000</v>
      </c>
      <c r="H24" s="28">
        <v>0</v>
      </c>
      <c r="I24" s="28">
        <v>0</v>
      </c>
      <c r="J24" s="28">
        <v>0</v>
      </c>
      <c r="K24" s="29">
        <v>51103.46</v>
      </c>
      <c r="L24" s="28"/>
      <c r="M24" s="30">
        <v>51103.46</v>
      </c>
      <c r="N24" s="26">
        <v>0</v>
      </c>
    </row>
    <row r="25" spans="1:14" x14ac:dyDescent="0.25">
      <c r="A25" s="26" t="s">
        <v>187</v>
      </c>
      <c r="B25" s="26" t="s">
        <v>188</v>
      </c>
      <c r="C25" s="26" t="s">
        <v>348</v>
      </c>
      <c r="D25" s="26" t="s">
        <v>349</v>
      </c>
      <c r="E25" s="26" t="s">
        <v>298</v>
      </c>
      <c r="F25" s="27">
        <v>9787.26</v>
      </c>
      <c r="G25" s="27">
        <v>3237.48</v>
      </c>
      <c r="H25" s="28">
        <v>0</v>
      </c>
      <c r="I25" s="28">
        <v>0</v>
      </c>
      <c r="J25" s="28">
        <v>0</v>
      </c>
      <c r="K25" s="29">
        <v>13024.74</v>
      </c>
      <c r="L25" s="28"/>
      <c r="M25" s="30">
        <v>13024.74</v>
      </c>
      <c r="N25" s="26" t="s">
        <v>286</v>
      </c>
    </row>
    <row r="26" spans="1:14" x14ac:dyDescent="0.25">
      <c r="A26" s="26" t="s">
        <v>70</v>
      </c>
      <c r="B26" s="26" t="s">
        <v>71</v>
      </c>
      <c r="C26" s="26"/>
      <c r="D26" s="26"/>
      <c r="E26" s="26"/>
      <c r="F26" s="28">
        <v>0</v>
      </c>
      <c r="G26" s="27">
        <v>19279.099999999999</v>
      </c>
      <c r="H26" s="28">
        <v>0</v>
      </c>
      <c r="I26" s="28">
        <v>0</v>
      </c>
      <c r="J26" s="28">
        <v>0</v>
      </c>
      <c r="K26" s="29">
        <v>19279.099999999999</v>
      </c>
      <c r="L26" s="28"/>
      <c r="M26" s="30">
        <v>19279.099999999999</v>
      </c>
      <c r="N26" s="26" t="s">
        <v>283</v>
      </c>
    </row>
    <row r="27" spans="1:14" x14ac:dyDescent="0.25">
      <c r="A27" s="26" t="s">
        <v>74</v>
      </c>
      <c r="B27" s="26" t="s">
        <v>75</v>
      </c>
      <c r="C27" s="26" t="s">
        <v>352</v>
      </c>
      <c r="D27" s="26" t="s">
        <v>353</v>
      </c>
      <c r="E27" s="26" t="s">
        <v>298</v>
      </c>
      <c r="F27" s="28">
        <v>0</v>
      </c>
      <c r="G27" s="28">
        <v>0</v>
      </c>
      <c r="H27" s="28">
        <v>0</v>
      </c>
      <c r="I27" s="28">
        <v>0</v>
      </c>
      <c r="J27" s="27">
        <v>2197.91</v>
      </c>
      <c r="K27" s="29">
        <v>2197.91</v>
      </c>
      <c r="L27" s="27"/>
      <c r="M27" s="30">
        <v>2197.91</v>
      </c>
      <c r="N27" s="26" t="s">
        <v>283</v>
      </c>
    </row>
    <row r="28" spans="1:14" x14ac:dyDescent="0.25">
      <c r="A28" s="26" t="s">
        <v>148</v>
      </c>
      <c r="B28" s="26" t="s">
        <v>149</v>
      </c>
      <c r="C28" s="26"/>
      <c r="D28" s="26"/>
      <c r="E28" s="26"/>
      <c r="F28" s="27">
        <v>10750.93</v>
      </c>
      <c r="G28" s="28">
        <v>336.9</v>
      </c>
      <c r="H28" s="28">
        <v>0</v>
      </c>
      <c r="I28" s="28">
        <v>0</v>
      </c>
      <c r="J28" s="28">
        <v>-13</v>
      </c>
      <c r="K28" s="29">
        <v>11074.83</v>
      </c>
      <c r="L28" s="28"/>
      <c r="M28" s="30">
        <v>11074.83</v>
      </c>
      <c r="N28" s="26" t="s">
        <v>287</v>
      </c>
    </row>
    <row r="29" spans="1:14" x14ac:dyDescent="0.25">
      <c r="A29" s="26" t="s">
        <v>229</v>
      </c>
      <c r="B29" s="26" t="s">
        <v>230</v>
      </c>
      <c r="C29" s="26"/>
      <c r="D29" s="26"/>
      <c r="E29" s="26"/>
      <c r="F29" s="28">
        <v>0</v>
      </c>
      <c r="G29" s="28">
        <v>641.04</v>
      </c>
      <c r="H29" s="28">
        <v>0</v>
      </c>
      <c r="I29" s="28">
        <v>0</v>
      </c>
      <c r="J29" s="28">
        <v>0</v>
      </c>
      <c r="K29" s="29">
        <v>641.04</v>
      </c>
      <c r="L29" s="28"/>
      <c r="M29" s="30">
        <v>641.04</v>
      </c>
      <c r="N29" s="26" t="s">
        <v>285</v>
      </c>
    </row>
    <row r="30" spans="1:14" x14ac:dyDescent="0.25">
      <c r="A30" s="26" t="s">
        <v>114</v>
      </c>
      <c r="B30" s="26" t="s">
        <v>115</v>
      </c>
      <c r="C30" s="26" t="s">
        <v>360</v>
      </c>
      <c r="D30" s="26" t="s">
        <v>361</v>
      </c>
      <c r="E30" s="26" t="s">
        <v>298</v>
      </c>
      <c r="F30" s="28">
        <v>0</v>
      </c>
      <c r="G30" s="27">
        <v>4653.66</v>
      </c>
      <c r="H30" s="28">
        <v>0</v>
      </c>
      <c r="I30" s="28">
        <v>0</v>
      </c>
      <c r="J30" s="28">
        <v>0</v>
      </c>
      <c r="K30" s="29">
        <v>4653.66</v>
      </c>
      <c r="L30" s="28"/>
      <c r="M30" s="30">
        <v>4653.66</v>
      </c>
      <c r="N30" s="26" t="s">
        <v>283</v>
      </c>
    </row>
    <row r="31" spans="1:14" x14ac:dyDescent="0.25">
      <c r="A31" s="26" t="s">
        <v>223</v>
      </c>
      <c r="B31" s="26" t="s">
        <v>224</v>
      </c>
      <c r="C31" s="26"/>
      <c r="D31" s="26"/>
      <c r="E31" s="26"/>
      <c r="F31" s="27">
        <v>8976.6299999999992</v>
      </c>
      <c r="G31" s="27">
        <v>5269.44</v>
      </c>
      <c r="H31" s="28">
        <v>0</v>
      </c>
      <c r="I31" s="28">
        <v>-27.64</v>
      </c>
      <c r="J31" s="28">
        <v>-4</v>
      </c>
      <c r="K31" s="29">
        <v>14214.43</v>
      </c>
      <c r="L31" s="28"/>
      <c r="M31" s="30">
        <v>14214.43</v>
      </c>
      <c r="N31" s="26" t="s">
        <v>285</v>
      </c>
    </row>
    <row r="32" spans="1:14" x14ac:dyDescent="0.25">
      <c r="A32" s="26" t="s">
        <v>142</v>
      </c>
      <c r="B32" s="26" t="s">
        <v>143</v>
      </c>
      <c r="C32" s="26"/>
      <c r="D32" s="26"/>
      <c r="E32" s="26"/>
      <c r="F32" s="27">
        <v>4679.8599999999997</v>
      </c>
      <c r="G32" s="27">
        <v>7597.68</v>
      </c>
      <c r="H32" s="28">
        <v>0</v>
      </c>
      <c r="I32" s="28">
        <v>0</v>
      </c>
      <c r="J32" s="28">
        <v>0</v>
      </c>
      <c r="K32" s="29">
        <v>12277.54</v>
      </c>
      <c r="L32" s="28"/>
      <c r="M32" s="30">
        <v>12277.54</v>
      </c>
      <c r="N32" s="26" t="s">
        <v>283</v>
      </c>
    </row>
    <row r="33" spans="1:14" x14ac:dyDescent="0.25">
      <c r="A33" s="26" t="s">
        <v>233</v>
      </c>
      <c r="B33" s="26" t="s">
        <v>234</v>
      </c>
      <c r="C33" s="26" t="s">
        <v>371</v>
      </c>
      <c r="D33" s="26" t="s">
        <v>372</v>
      </c>
      <c r="E33" s="26" t="s">
        <v>295</v>
      </c>
      <c r="F33" s="28">
        <v>0</v>
      </c>
      <c r="G33" s="28">
        <v>0</v>
      </c>
      <c r="H33" s="28">
        <v>0</v>
      </c>
      <c r="I33" s="28">
        <v>0</v>
      </c>
      <c r="J33" s="27">
        <v>36203.199999999997</v>
      </c>
      <c r="K33" s="29">
        <v>36203.199999999997</v>
      </c>
      <c r="L33" s="27"/>
      <c r="M33" s="30">
        <v>36203.199999999997</v>
      </c>
      <c r="N33" s="26" t="s">
        <v>284</v>
      </c>
    </row>
    <row r="34" spans="1:14" x14ac:dyDescent="0.25">
      <c r="A34" s="32"/>
      <c r="B34" s="32"/>
      <c r="C34" s="32"/>
      <c r="D34" s="32"/>
      <c r="E34" s="32"/>
      <c r="F34" s="33"/>
      <c r="G34" s="34"/>
      <c r="H34" s="34"/>
      <c r="I34" s="34"/>
      <c r="J34" s="34"/>
      <c r="K34" s="35"/>
      <c r="L34" s="34"/>
      <c r="M34" s="36"/>
      <c r="N34" s="32"/>
    </row>
    <row r="35" spans="1:14" x14ac:dyDescent="0.25">
      <c r="A35" s="32"/>
      <c r="B35" s="32"/>
      <c r="C35" s="32"/>
      <c r="D35" s="32"/>
      <c r="E35" s="32"/>
      <c r="F35" s="33"/>
      <c r="G35" s="34"/>
      <c r="H35" s="34"/>
      <c r="I35" s="34"/>
      <c r="J35" s="34"/>
      <c r="K35" s="35"/>
      <c r="L35" s="34"/>
      <c r="M35" s="36"/>
      <c r="N35" s="32"/>
    </row>
    <row r="36" spans="1:14" x14ac:dyDescent="0.25">
      <c r="A36" s="3" t="s">
        <v>205</v>
      </c>
      <c r="B36" s="31" t="s">
        <v>206</v>
      </c>
      <c r="C36" s="3" t="s">
        <v>293</v>
      </c>
      <c r="D36" s="3" t="s">
        <v>294</v>
      </c>
      <c r="E36" s="3" t="s">
        <v>295</v>
      </c>
      <c r="F36" s="6">
        <v>1158.18</v>
      </c>
      <c r="G36" s="4">
        <v>0</v>
      </c>
      <c r="H36" s="4">
        <v>0</v>
      </c>
      <c r="I36" s="4">
        <v>0</v>
      </c>
      <c r="J36" s="4">
        <v>0</v>
      </c>
      <c r="K36" s="5">
        <f>F36+G36+H36+I36+J36</f>
        <v>1158.18</v>
      </c>
      <c r="L36" s="4"/>
      <c r="M36" s="10">
        <f>K36-L36</f>
        <v>1158.18</v>
      </c>
      <c r="N36" s="3" t="s">
        <v>282</v>
      </c>
    </row>
    <row r="37" spans="1:14" x14ac:dyDescent="0.25">
      <c r="A37" s="3" t="s">
        <v>203</v>
      </c>
      <c r="B37" s="31" t="s">
        <v>204</v>
      </c>
      <c r="C37" s="3" t="s">
        <v>296</v>
      </c>
      <c r="D37" s="3" t="s">
        <v>294</v>
      </c>
      <c r="E37" s="3" t="s">
        <v>295</v>
      </c>
      <c r="F37" s="6">
        <v>4709.1899999999996</v>
      </c>
      <c r="G37" s="4">
        <v>0</v>
      </c>
      <c r="H37" s="4">
        <v>0</v>
      </c>
      <c r="I37" s="4">
        <v>0</v>
      </c>
      <c r="J37" s="4">
        <v>0</v>
      </c>
      <c r="K37" s="5">
        <f t="shared" ref="K37:K100" si="0">F37+G37+H37+I37+J37</f>
        <v>4709.1899999999996</v>
      </c>
      <c r="L37" s="4"/>
      <c r="M37" s="10">
        <f t="shared" ref="M37:M100" si="1">K37-L37</f>
        <v>4709.1899999999996</v>
      </c>
      <c r="N37" s="3" t="s">
        <v>282</v>
      </c>
    </row>
    <row r="38" spans="1:14" x14ac:dyDescent="0.25">
      <c r="A38" s="3" t="s">
        <v>201</v>
      </c>
      <c r="B38" s="31" t="s">
        <v>202</v>
      </c>
      <c r="C38" s="3" t="s">
        <v>297</v>
      </c>
      <c r="D38" s="3" t="s">
        <v>294</v>
      </c>
      <c r="E38" s="3" t="s">
        <v>295</v>
      </c>
      <c r="F38" s="6">
        <v>1928.09</v>
      </c>
      <c r="G38" s="4">
        <v>0</v>
      </c>
      <c r="H38" s="4">
        <v>0</v>
      </c>
      <c r="I38" s="4">
        <v>0</v>
      </c>
      <c r="J38" s="4">
        <v>0</v>
      </c>
      <c r="K38" s="5">
        <f t="shared" si="0"/>
        <v>1928.09</v>
      </c>
      <c r="L38" s="4"/>
      <c r="M38" s="10">
        <f t="shared" si="1"/>
        <v>1928.09</v>
      </c>
      <c r="N38" s="3" t="s">
        <v>282</v>
      </c>
    </row>
    <row r="39" spans="1:14" x14ac:dyDescent="0.25">
      <c r="A39" s="3" t="s">
        <v>207</v>
      </c>
      <c r="B39" s="31" t="s">
        <v>208</v>
      </c>
      <c r="C39" s="3"/>
      <c r="D39" s="3"/>
      <c r="E39" s="3"/>
      <c r="F39" s="6">
        <v>2075.59</v>
      </c>
      <c r="G39" s="4">
        <v>-12.72</v>
      </c>
      <c r="H39" s="4">
        <v>0</v>
      </c>
      <c r="I39" s="4">
        <v>0</v>
      </c>
      <c r="J39" s="4">
        <v>0</v>
      </c>
      <c r="K39" s="5">
        <f t="shared" si="0"/>
        <v>2062.8700000000003</v>
      </c>
      <c r="L39" s="4"/>
      <c r="M39" s="10">
        <f t="shared" si="1"/>
        <v>2062.8700000000003</v>
      </c>
      <c r="N39" s="3" t="s">
        <v>282</v>
      </c>
    </row>
    <row r="40" spans="1:14" x14ac:dyDescent="0.25">
      <c r="A40" s="3" t="s">
        <v>185</v>
      </c>
      <c r="B40" s="31" t="s">
        <v>186</v>
      </c>
      <c r="C40" s="3"/>
      <c r="D40" s="3"/>
      <c r="E40" s="3" t="s">
        <v>298</v>
      </c>
      <c r="F40" s="6">
        <v>7193.82</v>
      </c>
      <c r="G40" s="4">
        <v>-33.119999999999997</v>
      </c>
      <c r="H40" s="4">
        <v>0</v>
      </c>
      <c r="I40" s="4">
        <v>0</v>
      </c>
      <c r="J40" s="4">
        <v>-820.85</v>
      </c>
      <c r="K40" s="5">
        <f t="shared" si="0"/>
        <v>6339.8499999999995</v>
      </c>
      <c r="L40" s="4"/>
      <c r="M40" s="10">
        <f t="shared" si="1"/>
        <v>6339.8499999999995</v>
      </c>
      <c r="N40" s="3" t="s">
        <v>283</v>
      </c>
    </row>
    <row r="41" spans="1:14" x14ac:dyDescent="0.25">
      <c r="A41" s="3" t="s">
        <v>251</v>
      </c>
      <c r="B41" s="31" t="s">
        <v>252</v>
      </c>
      <c r="C41" s="3"/>
      <c r="D41" s="3"/>
      <c r="E41" s="3" t="s">
        <v>298</v>
      </c>
      <c r="F41" s="6">
        <v>9241.0400000000009</v>
      </c>
      <c r="G41" s="4">
        <v>0</v>
      </c>
      <c r="H41" s="4">
        <v>0</v>
      </c>
      <c r="I41" s="4">
        <v>0</v>
      </c>
      <c r="J41" s="4">
        <v>0</v>
      </c>
      <c r="K41" s="5">
        <f t="shared" si="0"/>
        <v>9241.0400000000009</v>
      </c>
      <c r="L41" s="4"/>
      <c r="M41" s="10">
        <f t="shared" si="1"/>
        <v>9241.0400000000009</v>
      </c>
      <c r="N41" s="3" t="s">
        <v>283</v>
      </c>
    </row>
    <row r="42" spans="1:14" x14ac:dyDescent="0.25">
      <c r="A42" s="3" t="s">
        <v>269</v>
      </c>
      <c r="B42" s="31" t="s">
        <v>270</v>
      </c>
      <c r="C42" s="3"/>
      <c r="D42" s="3"/>
      <c r="E42" s="3" t="s">
        <v>298</v>
      </c>
      <c r="F42" s="6">
        <v>2839.94</v>
      </c>
      <c r="G42" s="4">
        <v>0</v>
      </c>
      <c r="H42" s="4">
        <v>0</v>
      </c>
      <c r="I42" s="4">
        <v>0</v>
      </c>
      <c r="J42" s="4">
        <v>0</v>
      </c>
      <c r="K42" s="5">
        <f t="shared" si="0"/>
        <v>2839.94</v>
      </c>
      <c r="L42" s="4"/>
      <c r="M42" s="10">
        <f t="shared" si="1"/>
        <v>2839.94</v>
      </c>
      <c r="N42" s="3" t="s">
        <v>283</v>
      </c>
    </row>
    <row r="43" spans="1:14" x14ac:dyDescent="0.25">
      <c r="A43" s="3" t="s">
        <v>253</v>
      </c>
      <c r="B43" s="31" t="s">
        <v>254</v>
      </c>
      <c r="C43" s="3"/>
      <c r="D43" s="3"/>
      <c r="E43" s="3" t="s">
        <v>298</v>
      </c>
      <c r="F43" s="6">
        <v>13667.57</v>
      </c>
      <c r="G43" s="4">
        <v>0</v>
      </c>
      <c r="H43" s="4">
        <v>0</v>
      </c>
      <c r="I43" s="4">
        <v>0</v>
      </c>
      <c r="J43" s="4">
        <v>0</v>
      </c>
      <c r="K43" s="5">
        <f t="shared" si="0"/>
        <v>13667.57</v>
      </c>
      <c r="L43" s="4"/>
      <c r="M43" s="10">
        <f t="shared" si="1"/>
        <v>13667.57</v>
      </c>
      <c r="N43" s="3" t="s">
        <v>283</v>
      </c>
    </row>
    <row r="44" spans="1:14" x14ac:dyDescent="0.25">
      <c r="A44" s="11" t="s">
        <v>259</v>
      </c>
      <c r="B44" s="26" t="s">
        <v>260</v>
      </c>
      <c r="C44" s="11"/>
      <c r="D44" s="11"/>
      <c r="E44" s="11" t="s">
        <v>298</v>
      </c>
      <c r="F44" s="12">
        <v>2988.96</v>
      </c>
      <c r="G44" s="13">
        <v>554.77</v>
      </c>
      <c r="H44" s="13">
        <v>0</v>
      </c>
      <c r="I44" s="13">
        <v>0</v>
      </c>
      <c r="J44" s="13">
        <v>0</v>
      </c>
      <c r="K44" s="14">
        <f t="shared" si="0"/>
        <v>3543.73</v>
      </c>
      <c r="L44" s="13"/>
      <c r="M44" s="15">
        <f t="shared" si="1"/>
        <v>3543.73</v>
      </c>
      <c r="N44" s="11" t="s">
        <v>283</v>
      </c>
    </row>
    <row r="45" spans="1:14" x14ac:dyDescent="0.25">
      <c r="A45" s="3" t="s">
        <v>257</v>
      </c>
      <c r="B45" s="31" t="s">
        <v>258</v>
      </c>
      <c r="C45" s="3"/>
      <c r="D45" s="3"/>
      <c r="E45" s="3" t="s">
        <v>298</v>
      </c>
      <c r="F45" s="6">
        <v>7439.07</v>
      </c>
      <c r="G45" s="4">
        <v>0</v>
      </c>
      <c r="H45" s="4">
        <v>0</v>
      </c>
      <c r="I45" s="4">
        <v>0</v>
      </c>
      <c r="J45" s="4">
        <v>0</v>
      </c>
      <c r="K45" s="5">
        <f t="shared" si="0"/>
        <v>7439.07</v>
      </c>
      <c r="L45" s="4"/>
      <c r="M45" s="10">
        <f t="shared" si="1"/>
        <v>7439.07</v>
      </c>
      <c r="N45" s="3" t="s">
        <v>283</v>
      </c>
    </row>
    <row r="46" spans="1:14" x14ac:dyDescent="0.25">
      <c r="A46" s="11" t="s">
        <v>267</v>
      </c>
      <c r="B46" s="26" t="s">
        <v>268</v>
      </c>
      <c r="C46" s="11"/>
      <c r="D46" s="11"/>
      <c r="E46" s="11" t="s">
        <v>298</v>
      </c>
      <c r="F46" s="12">
        <v>1805.28</v>
      </c>
      <c r="G46" s="13">
        <v>518.48</v>
      </c>
      <c r="H46" s="13">
        <v>0</v>
      </c>
      <c r="I46" s="13">
        <v>0</v>
      </c>
      <c r="J46" s="13">
        <v>0</v>
      </c>
      <c r="K46" s="14">
        <f t="shared" si="0"/>
        <v>2323.7600000000002</v>
      </c>
      <c r="L46" s="13"/>
      <c r="M46" s="15">
        <f t="shared" si="1"/>
        <v>2323.7600000000002</v>
      </c>
      <c r="N46" s="11" t="s">
        <v>283</v>
      </c>
    </row>
    <row r="47" spans="1:14" x14ac:dyDescent="0.25">
      <c r="A47" s="11" t="s">
        <v>263</v>
      </c>
      <c r="B47" s="26" t="s">
        <v>264</v>
      </c>
      <c r="C47" s="11"/>
      <c r="D47" s="11"/>
      <c r="E47" s="11" t="s">
        <v>298</v>
      </c>
      <c r="F47" s="13">
        <v>776.06</v>
      </c>
      <c r="G47" s="13">
        <v>203.16</v>
      </c>
      <c r="H47" s="13">
        <v>0</v>
      </c>
      <c r="I47" s="13">
        <v>0</v>
      </c>
      <c r="J47" s="13">
        <v>0</v>
      </c>
      <c r="K47" s="14">
        <f t="shared" si="0"/>
        <v>979.21999999999991</v>
      </c>
      <c r="L47" s="13"/>
      <c r="M47" s="15">
        <f t="shared" si="1"/>
        <v>979.21999999999991</v>
      </c>
      <c r="N47" s="11" t="s">
        <v>283</v>
      </c>
    </row>
    <row r="48" spans="1:14" x14ac:dyDescent="0.25">
      <c r="A48" s="3" t="s">
        <v>265</v>
      </c>
      <c r="B48" s="31" t="s">
        <v>266</v>
      </c>
      <c r="C48" s="3"/>
      <c r="D48" s="3"/>
      <c r="E48" s="3" t="s">
        <v>298</v>
      </c>
      <c r="F48" s="6">
        <v>5649.71</v>
      </c>
      <c r="G48" s="4">
        <v>0</v>
      </c>
      <c r="H48" s="4">
        <v>0</v>
      </c>
      <c r="I48" s="4">
        <v>0</v>
      </c>
      <c r="J48" s="4">
        <v>0</v>
      </c>
      <c r="K48" s="5">
        <f t="shared" si="0"/>
        <v>5649.71</v>
      </c>
      <c r="L48" s="4"/>
      <c r="M48" s="10">
        <f t="shared" si="1"/>
        <v>5649.71</v>
      </c>
      <c r="N48" s="3" t="s">
        <v>283</v>
      </c>
    </row>
    <row r="49" spans="1:14" x14ac:dyDescent="0.25">
      <c r="A49" s="3" t="s">
        <v>261</v>
      </c>
      <c r="B49" s="31" t="s">
        <v>262</v>
      </c>
      <c r="C49" s="3"/>
      <c r="D49" s="3"/>
      <c r="E49" s="3" t="s">
        <v>298</v>
      </c>
      <c r="F49" s="6">
        <v>2980.19</v>
      </c>
      <c r="G49" s="4">
        <v>0</v>
      </c>
      <c r="H49" s="4">
        <v>0</v>
      </c>
      <c r="I49" s="4">
        <v>0</v>
      </c>
      <c r="J49" s="4">
        <v>0</v>
      </c>
      <c r="K49" s="5">
        <f t="shared" si="0"/>
        <v>2980.19</v>
      </c>
      <c r="L49" s="4"/>
      <c r="M49" s="10">
        <f t="shared" si="1"/>
        <v>2980.19</v>
      </c>
      <c r="N49" s="3" t="s">
        <v>283</v>
      </c>
    </row>
    <row r="50" spans="1:14" x14ac:dyDescent="0.25">
      <c r="A50" s="3" t="s">
        <v>271</v>
      </c>
      <c r="B50" s="31" t="s">
        <v>272</v>
      </c>
      <c r="C50" s="3"/>
      <c r="D50" s="3"/>
      <c r="E50" s="3" t="s">
        <v>298</v>
      </c>
      <c r="F50" s="6">
        <v>2295.9</v>
      </c>
      <c r="G50" s="4">
        <v>0</v>
      </c>
      <c r="H50" s="4">
        <v>0</v>
      </c>
      <c r="I50" s="4">
        <v>0</v>
      </c>
      <c r="J50" s="4">
        <v>0</v>
      </c>
      <c r="K50" s="5">
        <f t="shared" si="0"/>
        <v>2295.9</v>
      </c>
      <c r="L50" s="4"/>
      <c r="M50" s="10">
        <f t="shared" si="1"/>
        <v>2295.9</v>
      </c>
      <c r="N50" s="3" t="s">
        <v>283</v>
      </c>
    </row>
    <row r="51" spans="1:14" x14ac:dyDescent="0.25">
      <c r="A51" s="3" t="s">
        <v>255</v>
      </c>
      <c r="B51" s="31" t="s">
        <v>256</v>
      </c>
      <c r="C51" s="3"/>
      <c r="D51" s="3"/>
      <c r="E51" s="3" t="s">
        <v>298</v>
      </c>
      <c r="F51" s="6">
        <v>8879.44</v>
      </c>
      <c r="G51" s="4">
        <v>0</v>
      </c>
      <c r="H51" s="4">
        <v>0</v>
      </c>
      <c r="I51" s="4">
        <v>0</v>
      </c>
      <c r="J51" s="4">
        <v>0</v>
      </c>
      <c r="K51" s="5">
        <f t="shared" si="0"/>
        <v>8879.44</v>
      </c>
      <c r="L51" s="4"/>
      <c r="M51" s="10">
        <f t="shared" si="1"/>
        <v>8879.44</v>
      </c>
      <c r="N51" s="3" t="s">
        <v>283</v>
      </c>
    </row>
    <row r="52" spans="1:14" x14ac:dyDescent="0.25">
      <c r="A52" s="3" t="s">
        <v>249</v>
      </c>
      <c r="B52" s="31" t="s">
        <v>250</v>
      </c>
      <c r="C52" s="3"/>
      <c r="D52" s="3"/>
      <c r="E52" s="3" t="s">
        <v>298</v>
      </c>
      <c r="F52" s="6">
        <v>6345.91</v>
      </c>
      <c r="G52" s="4">
        <v>0</v>
      </c>
      <c r="H52" s="4">
        <v>0</v>
      </c>
      <c r="I52" s="4">
        <v>0</v>
      </c>
      <c r="J52" s="4">
        <v>0</v>
      </c>
      <c r="K52" s="5">
        <f t="shared" si="0"/>
        <v>6345.91</v>
      </c>
      <c r="L52" s="4"/>
      <c r="M52" s="10">
        <f t="shared" si="1"/>
        <v>6345.91</v>
      </c>
      <c r="N52" s="3" t="s">
        <v>283</v>
      </c>
    </row>
    <row r="53" spans="1:14" x14ac:dyDescent="0.25">
      <c r="A53" s="11" t="s">
        <v>247</v>
      </c>
      <c r="B53" s="26" t="s">
        <v>248</v>
      </c>
      <c r="C53" s="11"/>
      <c r="D53" s="11"/>
      <c r="E53" s="11" t="s">
        <v>298</v>
      </c>
      <c r="F53" s="12">
        <v>6532.96</v>
      </c>
      <c r="G53" s="13">
        <v>989.07</v>
      </c>
      <c r="H53" s="13">
        <v>0</v>
      </c>
      <c r="I53" s="13">
        <v>0</v>
      </c>
      <c r="J53" s="13">
        <v>0</v>
      </c>
      <c r="K53" s="14">
        <f t="shared" si="0"/>
        <v>7522.03</v>
      </c>
      <c r="L53" s="13"/>
      <c r="M53" s="15">
        <f t="shared" si="1"/>
        <v>7522.03</v>
      </c>
      <c r="N53" s="11" t="s">
        <v>283</v>
      </c>
    </row>
    <row r="54" spans="1:14" x14ac:dyDescent="0.25">
      <c r="A54" s="3" t="s">
        <v>245</v>
      </c>
      <c r="B54" s="31" t="s">
        <v>246</v>
      </c>
      <c r="C54" s="3"/>
      <c r="D54" s="3"/>
      <c r="E54" s="3" t="s">
        <v>298</v>
      </c>
      <c r="F54" s="6">
        <v>9232.9500000000007</v>
      </c>
      <c r="G54" s="4">
        <v>0</v>
      </c>
      <c r="H54" s="4">
        <v>0</v>
      </c>
      <c r="I54" s="4">
        <v>0</v>
      </c>
      <c r="J54" s="4">
        <v>0</v>
      </c>
      <c r="K54" s="5">
        <f t="shared" si="0"/>
        <v>9232.9500000000007</v>
      </c>
      <c r="L54" s="4"/>
      <c r="M54" s="10">
        <f t="shared" si="1"/>
        <v>9232.9500000000007</v>
      </c>
      <c r="N54" s="3" t="s">
        <v>283</v>
      </c>
    </row>
    <row r="55" spans="1:14" x14ac:dyDescent="0.25">
      <c r="A55" s="11" t="s">
        <v>273</v>
      </c>
      <c r="B55" s="26" t="s">
        <v>274</v>
      </c>
      <c r="C55" s="11"/>
      <c r="D55" s="11"/>
      <c r="E55" s="11" t="s">
        <v>298</v>
      </c>
      <c r="F55" s="12">
        <v>1256.4100000000001</v>
      </c>
      <c r="G55" s="13">
        <v>834.12</v>
      </c>
      <c r="H55" s="13">
        <v>0</v>
      </c>
      <c r="I55" s="13">
        <v>0</v>
      </c>
      <c r="J55" s="13">
        <v>0</v>
      </c>
      <c r="K55" s="14">
        <f t="shared" si="0"/>
        <v>2090.5300000000002</v>
      </c>
      <c r="L55" s="13"/>
      <c r="M55" s="15">
        <f t="shared" si="1"/>
        <v>2090.5300000000002</v>
      </c>
      <c r="N55" s="11" t="s">
        <v>283</v>
      </c>
    </row>
    <row r="56" spans="1:14" x14ac:dyDescent="0.25">
      <c r="A56" s="11" t="s">
        <v>161</v>
      </c>
      <c r="B56" s="26" t="s">
        <v>162</v>
      </c>
      <c r="C56" s="11"/>
      <c r="D56" s="11"/>
      <c r="E56" s="11"/>
      <c r="F56" s="13">
        <v>0</v>
      </c>
      <c r="G56" s="12">
        <v>1513.26</v>
      </c>
      <c r="H56" s="13">
        <v>0</v>
      </c>
      <c r="I56" s="13">
        <v>0</v>
      </c>
      <c r="J56" s="13">
        <v>0</v>
      </c>
      <c r="K56" s="14">
        <f t="shared" si="0"/>
        <v>1513.26</v>
      </c>
      <c r="L56" s="13"/>
      <c r="M56" s="15">
        <f t="shared" si="1"/>
        <v>1513.26</v>
      </c>
      <c r="N56" s="11" t="s">
        <v>283</v>
      </c>
    </row>
    <row r="57" spans="1:14" x14ac:dyDescent="0.25">
      <c r="A57" s="3" t="s">
        <v>199</v>
      </c>
      <c r="B57" s="31" t="s">
        <v>200</v>
      </c>
      <c r="C57" s="3"/>
      <c r="D57" s="3"/>
      <c r="E57" s="3"/>
      <c r="F57" s="4">
        <v>255.36</v>
      </c>
      <c r="G57" s="4">
        <v>0</v>
      </c>
      <c r="H57" s="4">
        <v>0</v>
      </c>
      <c r="I57" s="4">
        <v>0</v>
      </c>
      <c r="J57" s="4">
        <v>0</v>
      </c>
      <c r="K57" s="5">
        <f t="shared" si="0"/>
        <v>255.36</v>
      </c>
      <c r="L57" s="4"/>
      <c r="M57" s="10">
        <f t="shared" si="1"/>
        <v>255.36</v>
      </c>
      <c r="N57" s="3">
        <v>0</v>
      </c>
    </row>
    <row r="58" spans="1:14" x14ac:dyDescent="0.25">
      <c r="A58" s="11" t="s">
        <v>197</v>
      </c>
      <c r="B58" s="26" t="s">
        <v>198</v>
      </c>
      <c r="C58" s="11" t="s">
        <v>299</v>
      </c>
      <c r="D58" s="11" t="s">
        <v>300</v>
      </c>
      <c r="E58" s="11" t="s">
        <v>298</v>
      </c>
      <c r="F58" s="12">
        <v>65336.160000000003</v>
      </c>
      <c r="G58" s="12">
        <v>52399.68</v>
      </c>
      <c r="H58" s="13">
        <v>0</v>
      </c>
      <c r="I58" s="13">
        <v>0</v>
      </c>
      <c r="J58" s="13">
        <v>0</v>
      </c>
      <c r="K58" s="14">
        <f t="shared" si="0"/>
        <v>117735.84</v>
      </c>
      <c r="L58" s="13"/>
      <c r="M58" s="15">
        <f t="shared" si="1"/>
        <v>117735.84</v>
      </c>
      <c r="N58" s="11" t="s">
        <v>283</v>
      </c>
    </row>
    <row r="59" spans="1:14" x14ac:dyDescent="0.25">
      <c r="A59" s="3" t="s">
        <v>8</v>
      </c>
      <c r="B59" s="31" t="s">
        <v>9</v>
      </c>
      <c r="C59" s="3"/>
      <c r="D59" s="3"/>
      <c r="E59" s="3"/>
      <c r="F59" s="4">
        <v>629.70000000000005</v>
      </c>
      <c r="G59" s="4">
        <v>0</v>
      </c>
      <c r="H59" s="4">
        <v>0</v>
      </c>
      <c r="I59" s="4">
        <v>0</v>
      </c>
      <c r="J59" s="4">
        <v>0</v>
      </c>
      <c r="K59" s="5">
        <f t="shared" si="0"/>
        <v>629.70000000000005</v>
      </c>
      <c r="L59" s="4"/>
      <c r="M59" s="10">
        <f t="shared" si="1"/>
        <v>629.70000000000005</v>
      </c>
      <c r="N59" s="3" t="s">
        <v>283</v>
      </c>
    </row>
    <row r="60" spans="1:14" x14ac:dyDescent="0.25">
      <c r="A60" s="3" t="s">
        <v>219</v>
      </c>
      <c r="B60" s="31" t="s">
        <v>220</v>
      </c>
      <c r="C60" s="3"/>
      <c r="D60" s="3"/>
      <c r="E60" s="3" t="s">
        <v>301</v>
      </c>
      <c r="F60" s="6">
        <v>18792.060000000001</v>
      </c>
      <c r="G60" s="4">
        <v>0</v>
      </c>
      <c r="H60" s="4">
        <v>0</v>
      </c>
      <c r="I60" s="4">
        <v>0</v>
      </c>
      <c r="J60" s="4">
        <v>0</v>
      </c>
      <c r="K60" s="5">
        <f t="shared" si="0"/>
        <v>18792.060000000001</v>
      </c>
      <c r="L60" s="4"/>
      <c r="M60" s="10">
        <f t="shared" si="1"/>
        <v>18792.060000000001</v>
      </c>
      <c r="N60" s="3" t="s">
        <v>284</v>
      </c>
    </row>
    <row r="61" spans="1:14" x14ac:dyDescent="0.25">
      <c r="A61" s="3" t="s">
        <v>189</v>
      </c>
      <c r="B61" s="31" t="s">
        <v>190</v>
      </c>
      <c r="C61" s="3"/>
      <c r="D61" s="3"/>
      <c r="E61" s="3"/>
      <c r="F61" s="4">
        <v>418.98</v>
      </c>
      <c r="G61" s="4">
        <v>0</v>
      </c>
      <c r="H61" s="4">
        <v>0</v>
      </c>
      <c r="I61" s="4">
        <v>0</v>
      </c>
      <c r="J61" s="4">
        <v>0</v>
      </c>
      <c r="K61" s="5">
        <f t="shared" si="0"/>
        <v>418.98</v>
      </c>
      <c r="L61" s="4"/>
      <c r="M61" s="10">
        <f t="shared" si="1"/>
        <v>418.98</v>
      </c>
      <c r="N61" s="3" t="s">
        <v>283</v>
      </c>
    </row>
    <row r="62" spans="1:14" x14ac:dyDescent="0.25">
      <c r="A62" s="3" t="s">
        <v>213</v>
      </c>
      <c r="B62" s="31" t="s">
        <v>214</v>
      </c>
      <c r="C62" s="3"/>
      <c r="D62" s="3"/>
      <c r="E62" s="3" t="s">
        <v>298</v>
      </c>
      <c r="F62" s="6">
        <v>51129.599999999999</v>
      </c>
      <c r="G62" s="4">
        <v>0</v>
      </c>
      <c r="H62" s="4">
        <v>0</v>
      </c>
      <c r="I62" s="4">
        <v>0</v>
      </c>
      <c r="J62" s="4">
        <v>0</v>
      </c>
      <c r="K62" s="5">
        <f t="shared" si="0"/>
        <v>51129.599999999999</v>
      </c>
      <c r="L62" s="4"/>
      <c r="M62" s="10">
        <f t="shared" si="1"/>
        <v>51129.599999999999</v>
      </c>
      <c r="N62" s="3" t="s">
        <v>283</v>
      </c>
    </row>
    <row r="63" spans="1:14" x14ac:dyDescent="0.25">
      <c r="A63" s="11" t="s">
        <v>132</v>
      </c>
      <c r="B63" s="26" t="s">
        <v>133</v>
      </c>
      <c r="C63" s="11"/>
      <c r="D63" s="11"/>
      <c r="E63" s="11" t="s">
        <v>298</v>
      </c>
      <c r="F63" s="13">
        <v>0</v>
      </c>
      <c r="G63" s="13">
        <v>0</v>
      </c>
      <c r="H63" s="13">
        <v>0</v>
      </c>
      <c r="I63" s="13">
        <v>0</v>
      </c>
      <c r="J63" s="12">
        <v>3871.43</v>
      </c>
      <c r="K63" s="14">
        <f t="shared" si="0"/>
        <v>3871.43</v>
      </c>
      <c r="L63" s="12"/>
      <c r="M63" s="15">
        <f t="shared" si="1"/>
        <v>3871.43</v>
      </c>
      <c r="N63" s="11" t="s">
        <v>283</v>
      </c>
    </row>
    <row r="64" spans="1:14" x14ac:dyDescent="0.25">
      <c r="A64" s="3" t="s">
        <v>10</v>
      </c>
      <c r="B64" s="31" t="s">
        <v>11</v>
      </c>
      <c r="C64" s="3" t="s">
        <v>302</v>
      </c>
      <c r="D64" s="3" t="s">
        <v>303</v>
      </c>
      <c r="E64" s="3" t="s">
        <v>304</v>
      </c>
      <c r="F64" s="6">
        <v>9388.7999999999993</v>
      </c>
      <c r="G64" s="4">
        <v>0</v>
      </c>
      <c r="H64" s="4">
        <v>0</v>
      </c>
      <c r="I64" s="4">
        <v>0</v>
      </c>
      <c r="J64" s="4">
        <v>0</v>
      </c>
      <c r="K64" s="5">
        <f t="shared" si="0"/>
        <v>9388.7999999999993</v>
      </c>
      <c r="L64" s="4"/>
      <c r="M64" s="10">
        <f t="shared" si="1"/>
        <v>9388.7999999999993</v>
      </c>
      <c r="N64" s="3" t="s">
        <v>283</v>
      </c>
    </row>
    <row r="65" spans="1:14" x14ac:dyDescent="0.25">
      <c r="A65" s="3" t="s">
        <v>231</v>
      </c>
      <c r="B65" s="31" t="s">
        <v>232</v>
      </c>
      <c r="C65" s="3"/>
      <c r="D65" s="3"/>
      <c r="E65" s="3"/>
      <c r="F65" s="6">
        <v>1500</v>
      </c>
      <c r="G65" s="4">
        <v>0</v>
      </c>
      <c r="H65" s="4">
        <v>0</v>
      </c>
      <c r="I65" s="4">
        <v>0</v>
      </c>
      <c r="J65" s="4">
        <v>0</v>
      </c>
      <c r="K65" s="5">
        <f t="shared" si="0"/>
        <v>1500</v>
      </c>
      <c r="L65" s="4"/>
      <c r="M65" s="10">
        <f t="shared" si="1"/>
        <v>1500</v>
      </c>
      <c r="N65" s="3">
        <v>0</v>
      </c>
    </row>
    <row r="66" spans="1:14" x14ac:dyDescent="0.25">
      <c r="A66" s="3" t="s">
        <v>277</v>
      </c>
      <c r="B66" s="31" t="s">
        <v>278</v>
      </c>
      <c r="C66" s="3"/>
      <c r="D66" s="3"/>
      <c r="E66" s="3"/>
      <c r="F66" s="6">
        <v>5366.16</v>
      </c>
      <c r="G66" s="4">
        <v>0</v>
      </c>
      <c r="H66" s="4">
        <v>0</v>
      </c>
      <c r="I66" s="4">
        <v>0</v>
      </c>
      <c r="J66" s="4">
        <v>0</v>
      </c>
      <c r="K66" s="5">
        <f t="shared" si="0"/>
        <v>5366.16</v>
      </c>
      <c r="L66" s="4"/>
      <c r="M66" s="10">
        <f t="shared" si="1"/>
        <v>5366.16</v>
      </c>
      <c r="N66" s="3" t="s">
        <v>285</v>
      </c>
    </row>
    <row r="67" spans="1:14" x14ac:dyDescent="0.25">
      <c r="A67" s="21" t="s">
        <v>128</v>
      </c>
      <c r="B67" s="21" t="s">
        <v>129</v>
      </c>
      <c r="C67" s="21" t="s">
        <v>305</v>
      </c>
      <c r="D67" s="21" t="s">
        <v>306</v>
      </c>
      <c r="E67" s="21" t="s">
        <v>307</v>
      </c>
      <c r="F67" s="22">
        <v>63441.78</v>
      </c>
      <c r="G67" s="22">
        <f>50609.52-1416.96</f>
        <v>49192.56</v>
      </c>
      <c r="H67" s="23">
        <v>0</v>
      </c>
      <c r="I67" s="23">
        <v>0</v>
      </c>
      <c r="J67" s="23">
        <v>-0.08</v>
      </c>
      <c r="K67" s="24">
        <f t="shared" si="0"/>
        <v>112634.26</v>
      </c>
      <c r="L67" s="23"/>
      <c r="M67" s="25">
        <f t="shared" si="1"/>
        <v>112634.26</v>
      </c>
      <c r="N67" s="21" t="s">
        <v>283</v>
      </c>
    </row>
    <row r="68" spans="1:14" x14ac:dyDescent="0.25">
      <c r="A68" s="3" t="s">
        <v>193</v>
      </c>
      <c r="B68" s="31" t="s">
        <v>194</v>
      </c>
      <c r="C68" s="3"/>
      <c r="D68" s="3"/>
      <c r="E68" s="3"/>
      <c r="F68" s="6">
        <v>7494.75</v>
      </c>
      <c r="G68" s="4">
        <v>0</v>
      </c>
      <c r="H68" s="4">
        <v>0</v>
      </c>
      <c r="I68" s="4">
        <v>0</v>
      </c>
      <c r="J68" s="4">
        <v>0</v>
      </c>
      <c r="K68" s="5">
        <f t="shared" si="0"/>
        <v>7494.75</v>
      </c>
      <c r="L68" s="4"/>
      <c r="M68" s="10">
        <f t="shared" si="1"/>
        <v>7494.75</v>
      </c>
      <c r="N68" s="3" t="s">
        <v>283</v>
      </c>
    </row>
    <row r="69" spans="1:14" x14ac:dyDescent="0.25">
      <c r="A69" s="11" t="s">
        <v>12</v>
      </c>
      <c r="B69" s="26" t="s">
        <v>13</v>
      </c>
      <c r="C69" s="11" t="s">
        <v>308</v>
      </c>
      <c r="D69" s="11" t="s">
        <v>309</v>
      </c>
      <c r="E69" s="11" t="s">
        <v>298</v>
      </c>
      <c r="F69" s="13">
        <v>0</v>
      </c>
      <c r="G69" s="13">
        <v>0</v>
      </c>
      <c r="H69" s="13">
        <v>0</v>
      </c>
      <c r="I69" s="13">
        <v>0</v>
      </c>
      <c r="J69" s="12">
        <v>1333.31</v>
      </c>
      <c r="K69" s="14">
        <f t="shared" si="0"/>
        <v>1333.31</v>
      </c>
      <c r="L69" s="12"/>
      <c r="M69" s="15">
        <f t="shared" si="1"/>
        <v>1333.31</v>
      </c>
      <c r="N69" s="11" t="s">
        <v>283</v>
      </c>
    </row>
    <row r="70" spans="1:14" x14ac:dyDescent="0.25">
      <c r="A70" s="3" t="s">
        <v>195</v>
      </c>
      <c r="B70" s="31" t="s">
        <v>196</v>
      </c>
      <c r="C70" s="3"/>
      <c r="D70" s="3"/>
      <c r="E70" s="3" t="s">
        <v>298</v>
      </c>
      <c r="F70" s="6">
        <v>9498.92</v>
      </c>
      <c r="G70" s="4">
        <v>-270</v>
      </c>
      <c r="H70" s="4">
        <v>0</v>
      </c>
      <c r="I70" s="4">
        <v>0</v>
      </c>
      <c r="J70" s="4">
        <v>0</v>
      </c>
      <c r="K70" s="5">
        <f t="shared" si="0"/>
        <v>9228.92</v>
      </c>
      <c r="L70" s="4"/>
      <c r="M70" s="10">
        <f t="shared" si="1"/>
        <v>9228.92</v>
      </c>
      <c r="N70" s="3" t="s">
        <v>286</v>
      </c>
    </row>
    <row r="71" spans="1:14" x14ac:dyDescent="0.25">
      <c r="A71" s="3" t="s">
        <v>237</v>
      </c>
      <c r="B71" s="31" t="s">
        <v>238</v>
      </c>
      <c r="C71" s="3"/>
      <c r="D71" s="3"/>
      <c r="E71" s="3"/>
      <c r="F71" s="6">
        <v>20769.84</v>
      </c>
      <c r="G71" s="4">
        <v>0</v>
      </c>
      <c r="H71" s="4">
        <v>0</v>
      </c>
      <c r="I71" s="4">
        <v>0</v>
      </c>
      <c r="J71" s="4">
        <v>0</v>
      </c>
      <c r="K71" s="5">
        <f t="shared" si="0"/>
        <v>20769.84</v>
      </c>
      <c r="L71" s="4"/>
      <c r="M71" s="10">
        <f t="shared" si="1"/>
        <v>20769.84</v>
      </c>
      <c r="N71" s="3" t="s">
        <v>282</v>
      </c>
    </row>
    <row r="72" spans="1:14" x14ac:dyDescent="0.25">
      <c r="A72" s="11" t="s">
        <v>173</v>
      </c>
      <c r="B72" s="26" t="s">
        <v>174</v>
      </c>
      <c r="C72" s="11"/>
      <c r="D72" s="11"/>
      <c r="E72" s="11"/>
      <c r="F72" s="12">
        <v>2915.76</v>
      </c>
      <c r="G72" s="13">
        <v>748.08</v>
      </c>
      <c r="H72" s="13">
        <v>0</v>
      </c>
      <c r="I72" s="13">
        <v>0</v>
      </c>
      <c r="J72" s="13">
        <v>0</v>
      </c>
      <c r="K72" s="14">
        <f t="shared" si="0"/>
        <v>3663.84</v>
      </c>
      <c r="L72" s="13"/>
      <c r="M72" s="15">
        <f t="shared" si="1"/>
        <v>3663.84</v>
      </c>
      <c r="N72" s="11" t="s">
        <v>283</v>
      </c>
    </row>
    <row r="73" spans="1:14" x14ac:dyDescent="0.25">
      <c r="A73" s="3" t="s">
        <v>102</v>
      </c>
      <c r="B73" s="31" t="s">
        <v>103</v>
      </c>
      <c r="C73" s="3"/>
      <c r="D73" s="3"/>
      <c r="E73" s="3"/>
      <c r="F73" s="6">
        <v>30134.28</v>
      </c>
      <c r="G73" s="4">
        <v>0</v>
      </c>
      <c r="H73" s="4">
        <v>0</v>
      </c>
      <c r="I73" s="4">
        <v>0</v>
      </c>
      <c r="J73" s="4">
        <v>0</v>
      </c>
      <c r="K73" s="5">
        <f t="shared" si="0"/>
        <v>30134.28</v>
      </c>
      <c r="L73" s="4"/>
      <c r="M73" s="10">
        <f t="shared" si="1"/>
        <v>30134.28</v>
      </c>
      <c r="N73" s="3" t="s">
        <v>283</v>
      </c>
    </row>
    <row r="74" spans="1:14" x14ac:dyDescent="0.25">
      <c r="A74" s="3" t="s">
        <v>46</v>
      </c>
      <c r="B74" s="31" t="s">
        <v>47</v>
      </c>
      <c r="C74" s="3"/>
      <c r="D74" s="3"/>
      <c r="E74" s="3"/>
      <c r="F74" s="4">
        <v>900</v>
      </c>
      <c r="G74" s="4">
        <v>0</v>
      </c>
      <c r="H74" s="4">
        <v>0</v>
      </c>
      <c r="I74" s="4">
        <v>0</v>
      </c>
      <c r="J74" s="4">
        <v>0</v>
      </c>
      <c r="K74" s="5">
        <f t="shared" si="0"/>
        <v>900</v>
      </c>
      <c r="L74" s="4"/>
      <c r="M74" s="10">
        <f t="shared" si="1"/>
        <v>900</v>
      </c>
      <c r="N74" s="3" t="s">
        <v>283</v>
      </c>
    </row>
    <row r="75" spans="1:14" x14ac:dyDescent="0.25">
      <c r="A75" s="3" t="s">
        <v>16</v>
      </c>
      <c r="B75" s="31" t="s">
        <v>17</v>
      </c>
      <c r="C75" s="3" t="s">
        <v>310</v>
      </c>
      <c r="D75" s="3" t="s">
        <v>311</v>
      </c>
      <c r="E75" s="3" t="s">
        <v>298</v>
      </c>
      <c r="F75" s="6">
        <v>26198.16</v>
      </c>
      <c r="G75" s="4">
        <v>0</v>
      </c>
      <c r="H75" s="4">
        <v>0</v>
      </c>
      <c r="I75" s="4">
        <v>0</v>
      </c>
      <c r="J75" s="4">
        <v>0</v>
      </c>
      <c r="K75" s="5">
        <f t="shared" si="0"/>
        <v>26198.16</v>
      </c>
      <c r="L75" s="4"/>
      <c r="M75" s="10">
        <f t="shared" si="1"/>
        <v>26198.16</v>
      </c>
      <c r="N75" s="3" t="s">
        <v>287</v>
      </c>
    </row>
    <row r="76" spans="1:14" x14ac:dyDescent="0.25">
      <c r="A76" s="3" t="s">
        <v>18</v>
      </c>
      <c r="B76" s="31" t="s">
        <v>19</v>
      </c>
      <c r="C76" s="3" t="s">
        <v>312</v>
      </c>
      <c r="D76" s="3" t="s">
        <v>313</v>
      </c>
      <c r="E76" s="3" t="s">
        <v>298</v>
      </c>
      <c r="F76" s="6">
        <v>123859.97</v>
      </c>
      <c r="G76" s="4">
        <v>0</v>
      </c>
      <c r="H76" s="4">
        <v>0</v>
      </c>
      <c r="I76" s="4">
        <v>0</v>
      </c>
      <c r="J76" s="4">
        <v>0</v>
      </c>
      <c r="K76" s="5">
        <f t="shared" si="0"/>
        <v>123859.97</v>
      </c>
      <c r="L76" s="4"/>
      <c r="M76" s="10">
        <f t="shared" si="1"/>
        <v>123859.97</v>
      </c>
      <c r="N76" s="3" t="s">
        <v>283</v>
      </c>
    </row>
    <row r="77" spans="1:14" x14ac:dyDescent="0.25">
      <c r="A77" s="3" t="s">
        <v>20</v>
      </c>
      <c r="B77" s="31" t="s">
        <v>21</v>
      </c>
      <c r="C77" s="3"/>
      <c r="D77" s="3"/>
      <c r="E77" s="3"/>
      <c r="F77" s="6">
        <v>2598.0700000000002</v>
      </c>
      <c r="G77" s="4">
        <v>0</v>
      </c>
      <c r="H77" s="4">
        <v>-32.4</v>
      </c>
      <c r="I77" s="4">
        <v>0</v>
      </c>
      <c r="J77" s="4">
        <v>-18.239999999999998</v>
      </c>
      <c r="K77" s="5">
        <f t="shared" si="0"/>
        <v>2547.4300000000003</v>
      </c>
      <c r="L77" s="4"/>
      <c r="M77" s="10">
        <f t="shared" si="1"/>
        <v>2547.4300000000003</v>
      </c>
      <c r="N77" s="3" t="s">
        <v>288</v>
      </c>
    </row>
    <row r="78" spans="1:14" x14ac:dyDescent="0.25">
      <c r="A78" s="11" t="s">
        <v>22</v>
      </c>
      <c r="B78" s="26" t="s">
        <v>23</v>
      </c>
      <c r="C78" s="11" t="s">
        <v>314</v>
      </c>
      <c r="D78" s="11" t="s">
        <v>315</v>
      </c>
      <c r="E78" s="11" t="s">
        <v>298</v>
      </c>
      <c r="F78" s="12">
        <v>9600.48</v>
      </c>
      <c r="G78" s="12">
        <v>8316</v>
      </c>
      <c r="H78" s="13">
        <v>0</v>
      </c>
      <c r="I78" s="13">
        <v>0</v>
      </c>
      <c r="J78" s="13">
        <v>0</v>
      </c>
      <c r="K78" s="14">
        <f t="shared" si="0"/>
        <v>17916.48</v>
      </c>
      <c r="L78" s="13"/>
      <c r="M78" s="15">
        <f t="shared" si="1"/>
        <v>17916.48</v>
      </c>
      <c r="N78" s="11" t="s">
        <v>283</v>
      </c>
    </row>
    <row r="79" spans="1:14" x14ac:dyDescent="0.25">
      <c r="A79" s="3" t="s">
        <v>227</v>
      </c>
      <c r="B79" s="31" t="s">
        <v>228</v>
      </c>
      <c r="C79" s="3" t="s">
        <v>316</v>
      </c>
      <c r="D79" s="3" t="s">
        <v>317</v>
      </c>
      <c r="E79" s="3" t="s">
        <v>298</v>
      </c>
      <c r="F79" s="6">
        <v>54740.160000000003</v>
      </c>
      <c r="G79" s="4">
        <v>0</v>
      </c>
      <c r="H79" s="4">
        <v>0</v>
      </c>
      <c r="I79" s="4">
        <v>0</v>
      </c>
      <c r="J79" s="4">
        <v>0</v>
      </c>
      <c r="K79" s="5">
        <f t="shared" si="0"/>
        <v>54740.160000000003</v>
      </c>
      <c r="L79" s="4"/>
      <c r="M79" s="10">
        <f t="shared" si="1"/>
        <v>54740.160000000003</v>
      </c>
      <c r="N79" s="3" t="s">
        <v>283</v>
      </c>
    </row>
    <row r="80" spans="1:14" x14ac:dyDescent="0.25">
      <c r="A80" s="11" t="s">
        <v>90</v>
      </c>
      <c r="B80" s="26" t="s">
        <v>91</v>
      </c>
      <c r="C80" s="11" t="s">
        <v>318</v>
      </c>
      <c r="D80" s="11" t="s">
        <v>319</v>
      </c>
      <c r="E80" s="11" t="s">
        <v>298</v>
      </c>
      <c r="F80" s="13">
        <v>0</v>
      </c>
      <c r="G80" s="13">
        <v>0</v>
      </c>
      <c r="H80" s="13">
        <v>0</v>
      </c>
      <c r="I80" s="13">
        <v>0</v>
      </c>
      <c r="J80" s="12">
        <v>1116.96</v>
      </c>
      <c r="K80" s="14">
        <f t="shared" si="0"/>
        <v>1116.96</v>
      </c>
      <c r="L80" s="12"/>
      <c r="M80" s="15">
        <f t="shared" si="1"/>
        <v>1116.96</v>
      </c>
      <c r="N80" s="11" t="s">
        <v>283</v>
      </c>
    </row>
    <row r="81" spans="1:14" x14ac:dyDescent="0.25">
      <c r="A81" s="3" t="s">
        <v>163</v>
      </c>
      <c r="B81" s="31" t="s">
        <v>164</v>
      </c>
      <c r="C81" s="3" t="s">
        <v>320</v>
      </c>
      <c r="D81" s="3" t="s">
        <v>321</v>
      </c>
      <c r="E81" s="3" t="s">
        <v>298</v>
      </c>
      <c r="F81" s="6">
        <v>15109.68</v>
      </c>
      <c r="G81" s="4">
        <v>0</v>
      </c>
      <c r="H81" s="4">
        <v>0</v>
      </c>
      <c r="I81" s="4">
        <v>0</v>
      </c>
      <c r="J81" s="4">
        <v>0</v>
      </c>
      <c r="K81" s="5">
        <f t="shared" si="0"/>
        <v>15109.68</v>
      </c>
      <c r="L81" s="4"/>
      <c r="M81" s="10">
        <f t="shared" si="1"/>
        <v>15109.68</v>
      </c>
      <c r="N81" s="3" t="s">
        <v>283</v>
      </c>
    </row>
    <row r="82" spans="1:14" x14ac:dyDescent="0.25">
      <c r="A82" s="3" t="s">
        <v>24</v>
      </c>
      <c r="B82" s="31" t="s">
        <v>25</v>
      </c>
      <c r="C82" s="3" t="s">
        <v>322</v>
      </c>
      <c r="D82" s="3" t="s">
        <v>323</v>
      </c>
      <c r="E82" s="3" t="s">
        <v>298</v>
      </c>
      <c r="F82" s="6">
        <v>72859.199999999997</v>
      </c>
      <c r="G82" s="6">
        <v>-1418.4</v>
      </c>
      <c r="H82" s="4">
        <v>0</v>
      </c>
      <c r="I82" s="4">
        <v>0</v>
      </c>
      <c r="J82" s="4">
        <v>0</v>
      </c>
      <c r="K82" s="5">
        <f t="shared" si="0"/>
        <v>71440.800000000003</v>
      </c>
      <c r="L82" s="4"/>
      <c r="M82" s="10">
        <f t="shared" si="1"/>
        <v>71440.800000000003</v>
      </c>
      <c r="N82" s="3" t="s">
        <v>283</v>
      </c>
    </row>
    <row r="83" spans="1:14" x14ac:dyDescent="0.25">
      <c r="A83" s="3" t="s">
        <v>138</v>
      </c>
      <c r="B83" s="31" t="s">
        <v>139</v>
      </c>
      <c r="C83" s="3"/>
      <c r="D83" s="3"/>
      <c r="E83" s="3"/>
      <c r="F83" s="6">
        <v>3549.11</v>
      </c>
      <c r="G83" s="4">
        <v>0</v>
      </c>
      <c r="H83" s="4">
        <v>0</v>
      </c>
      <c r="I83" s="4">
        <v>0</v>
      </c>
      <c r="J83" s="4">
        <v>0</v>
      </c>
      <c r="K83" s="5">
        <f t="shared" si="0"/>
        <v>3549.11</v>
      </c>
      <c r="L83" s="4"/>
      <c r="M83" s="10">
        <f t="shared" si="1"/>
        <v>3549.11</v>
      </c>
      <c r="N83" s="3" t="s">
        <v>283</v>
      </c>
    </row>
    <row r="84" spans="1:14" x14ac:dyDescent="0.25">
      <c r="A84" s="3" t="s">
        <v>26</v>
      </c>
      <c r="B84" s="31" t="s">
        <v>27</v>
      </c>
      <c r="C84" s="3"/>
      <c r="D84" s="3"/>
      <c r="E84" s="3"/>
      <c r="F84" s="6">
        <v>25122.720000000001</v>
      </c>
      <c r="G84" s="4">
        <v>0</v>
      </c>
      <c r="H84" s="4">
        <v>0</v>
      </c>
      <c r="I84" s="4">
        <v>0</v>
      </c>
      <c r="J84" s="4">
        <v>0</v>
      </c>
      <c r="K84" s="5">
        <f t="shared" si="0"/>
        <v>25122.720000000001</v>
      </c>
      <c r="L84" s="4"/>
      <c r="M84" s="10">
        <f t="shared" si="1"/>
        <v>25122.720000000001</v>
      </c>
      <c r="N84" s="3" t="s">
        <v>283</v>
      </c>
    </row>
    <row r="85" spans="1:14" x14ac:dyDescent="0.25">
      <c r="A85" s="21" t="s">
        <v>44</v>
      </c>
      <c r="B85" s="21" t="s">
        <v>45</v>
      </c>
      <c r="C85" s="21" t="s">
        <v>324</v>
      </c>
      <c r="D85" s="21" t="s">
        <v>325</v>
      </c>
      <c r="E85" s="21" t="s">
        <v>307</v>
      </c>
      <c r="F85" s="22">
        <v>35496.29</v>
      </c>
      <c r="G85" s="22">
        <f>23048.71-360</f>
        <v>22688.71</v>
      </c>
      <c r="H85" s="23">
        <v>0</v>
      </c>
      <c r="I85" s="23">
        <v>0</v>
      </c>
      <c r="J85" s="23">
        <v>0</v>
      </c>
      <c r="K85" s="24">
        <f t="shared" si="0"/>
        <v>58185</v>
      </c>
      <c r="L85" s="23"/>
      <c r="M85" s="25">
        <f t="shared" si="1"/>
        <v>58185</v>
      </c>
      <c r="N85" s="21" t="s">
        <v>283</v>
      </c>
    </row>
    <row r="86" spans="1:14" x14ac:dyDescent="0.25">
      <c r="A86" s="3" t="s">
        <v>241</v>
      </c>
      <c r="B86" s="31" t="s">
        <v>242</v>
      </c>
      <c r="C86" s="3"/>
      <c r="D86" s="3"/>
      <c r="E86" s="3"/>
      <c r="F86" s="6">
        <v>20000</v>
      </c>
      <c r="G86" s="4">
        <v>0</v>
      </c>
      <c r="H86" s="4">
        <v>0</v>
      </c>
      <c r="I86" s="4">
        <v>0</v>
      </c>
      <c r="J86" s="4">
        <v>0</v>
      </c>
      <c r="K86" s="5">
        <f t="shared" si="0"/>
        <v>20000</v>
      </c>
      <c r="L86" s="4"/>
      <c r="M86" s="10">
        <f t="shared" si="1"/>
        <v>20000</v>
      </c>
      <c r="N86" s="3" t="s">
        <v>283</v>
      </c>
    </row>
    <row r="87" spans="1:14" x14ac:dyDescent="0.25">
      <c r="A87" s="11" t="s">
        <v>122</v>
      </c>
      <c r="B87" s="26" t="s">
        <v>123</v>
      </c>
      <c r="C87" s="11"/>
      <c r="D87" s="11"/>
      <c r="E87" s="11"/>
      <c r="F87" s="13">
        <v>0</v>
      </c>
      <c r="G87" s="12">
        <v>3000</v>
      </c>
      <c r="H87" s="13">
        <v>0</v>
      </c>
      <c r="I87" s="13">
        <v>0</v>
      </c>
      <c r="J87" s="13">
        <v>0</v>
      </c>
      <c r="K87" s="14">
        <f t="shared" si="0"/>
        <v>3000</v>
      </c>
      <c r="L87" s="13"/>
      <c r="M87" s="15">
        <f t="shared" si="1"/>
        <v>3000</v>
      </c>
      <c r="N87" s="11">
        <v>0</v>
      </c>
    </row>
    <row r="88" spans="1:14" x14ac:dyDescent="0.25">
      <c r="A88" s="3" t="s">
        <v>28</v>
      </c>
      <c r="B88" s="31" t="s">
        <v>29</v>
      </c>
      <c r="C88" s="3"/>
      <c r="D88" s="3"/>
      <c r="E88" s="3"/>
      <c r="F88" s="6">
        <v>1236.94</v>
      </c>
      <c r="G88" s="4">
        <v>0</v>
      </c>
      <c r="H88" s="4">
        <v>-12</v>
      </c>
      <c r="I88" s="4">
        <v>0</v>
      </c>
      <c r="J88" s="4">
        <v>0</v>
      </c>
      <c r="K88" s="5">
        <f t="shared" si="0"/>
        <v>1224.94</v>
      </c>
      <c r="L88" s="4"/>
      <c r="M88" s="10">
        <f t="shared" si="1"/>
        <v>1224.94</v>
      </c>
      <c r="N88" s="3" t="s">
        <v>282</v>
      </c>
    </row>
    <row r="89" spans="1:14" x14ac:dyDescent="0.25">
      <c r="A89" s="3" t="s">
        <v>152</v>
      </c>
      <c r="B89" s="31" t="s">
        <v>153</v>
      </c>
      <c r="C89" s="3"/>
      <c r="D89" s="3"/>
      <c r="E89" s="3"/>
      <c r="F89" s="6">
        <v>19316.75</v>
      </c>
      <c r="G89" s="4">
        <v>-442.48</v>
      </c>
      <c r="H89" s="4">
        <v>0</v>
      </c>
      <c r="I89" s="4">
        <v>0</v>
      </c>
      <c r="J89" s="4">
        <v>-50.84</v>
      </c>
      <c r="K89" s="5">
        <f t="shared" si="0"/>
        <v>18823.43</v>
      </c>
      <c r="L89" s="4"/>
      <c r="M89" s="10">
        <f t="shared" si="1"/>
        <v>18823.43</v>
      </c>
      <c r="N89" s="3" t="s">
        <v>283</v>
      </c>
    </row>
    <row r="90" spans="1:14" x14ac:dyDescent="0.25">
      <c r="A90" s="11" t="s">
        <v>140</v>
      </c>
      <c r="B90" s="26" t="s">
        <v>141</v>
      </c>
      <c r="C90" s="11"/>
      <c r="D90" s="11"/>
      <c r="E90" s="11"/>
      <c r="F90" s="12">
        <v>2193.62</v>
      </c>
      <c r="G90" s="12">
        <v>2618.4499999999998</v>
      </c>
      <c r="H90" s="13">
        <v>0</v>
      </c>
      <c r="I90" s="13">
        <v>0</v>
      </c>
      <c r="J90" s="13">
        <v>0</v>
      </c>
      <c r="K90" s="14">
        <f t="shared" si="0"/>
        <v>4812.07</v>
      </c>
      <c r="L90" s="13"/>
      <c r="M90" s="15">
        <f t="shared" si="1"/>
        <v>4812.07</v>
      </c>
      <c r="N90" s="11" t="s">
        <v>283</v>
      </c>
    </row>
    <row r="91" spans="1:14" x14ac:dyDescent="0.25">
      <c r="A91" s="3" t="s">
        <v>68</v>
      </c>
      <c r="B91" s="31" t="s">
        <v>69</v>
      </c>
      <c r="C91" s="3" t="s">
        <v>326</v>
      </c>
      <c r="D91" s="3" t="s">
        <v>327</v>
      </c>
      <c r="E91" s="3" t="s">
        <v>298</v>
      </c>
      <c r="F91" s="6">
        <v>84149.93</v>
      </c>
      <c r="G91" s="4">
        <v>0</v>
      </c>
      <c r="H91" s="4">
        <v>0</v>
      </c>
      <c r="I91" s="4">
        <v>0</v>
      </c>
      <c r="J91" s="4">
        <v>0</v>
      </c>
      <c r="K91" s="5">
        <f t="shared" si="0"/>
        <v>84149.93</v>
      </c>
      <c r="L91" s="4"/>
      <c r="M91" s="10">
        <f t="shared" si="1"/>
        <v>84149.93</v>
      </c>
      <c r="N91" s="3" t="s">
        <v>283</v>
      </c>
    </row>
    <row r="92" spans="1:14" x14ac:dyDescent="0.25">
      <c r="A92" s="3" t="s">
        <v>239</v>
      </c>
      <c r="B92" s="31" t="s">
        <v>240</v>
      </c>
      <c r="C92" s="3"/>
      <c r="D92" s="3"/>
      <c r="E92" s="3"/>
      <c r="F92" s="6">
        <v>1734.54</v>
      </c>
      <c r="G92" s="4">
        <v>0</v>
      </c>
      <c r="H92" s="4">
        <v>0</v>
      </c>
      <c r="I92" s="4">
        <v>0</v>
      </c>
      <c r="J92" s="4">
        <v>0</v>
      </c>
      <c r="K92" s="5">
        <f t="shared" si="0"/>
        <v>1734.54</v>
      </c>
      <c r="L92" s="4"/>
      <c r="M92" s="10">
        <f t="shared" si="1"/>
        <v>1734.54</v>
      </c>
      <c r="N92" s="3" t="s">
        <v>283</v>
      </c>
    </row>
    <row r="93" spans="1:14" x14ac:dyDescent="0.25">
      <c r="A93" s="11" t="s">
        <v>167</v>
      </c>
      <c r="B93" s="26" t="s">
        <v>168</v>
      </c>
      <c r="C93" s="11" t="s">
        <v>328</v>
      </c>
      <c r="D93" s="11" t="s">
        <v>329</v>
      </c>
      <c r="E93" s="11" t="s">
        <v>330</v>
      </c>
      <c r="F93" s="12">
        <v>15876</v>
      </c>
      <c r="G93" s="12">
        <v>29146.5</v>
      </c>
      <c r="H93" s="13">
        <v>21</v>
      </c>
      <c r="I93" s="13">
        <v>0</v>
      </c>
      <c r="J93" s="13">
        <v>312</v>
      </c>
      <c r="K93" s="14">
        <f t="shared" si="0"/>
        <v>45355.5</v>
      </c>
      <c r="L93" s="13"/>
      <c r="M93" s="15">
        <f t="shared" si="1"/>
        <v>45355.5</v>
      </c>
      <c r="N93" s="11" t="s">
        <v>287</v>
      </c>
    </row>
    <row r="94" spans="1:14" x14ac:dyDescent="0.25">
      <c r="A94" s="3" t="s">
        <v>32</v>
      </c>
      <c r="B94" s="31" t="s">
        <v>33</v>
      </c>
      <c r="C94" s="3" t="s">
        <v>331</v>
      </c>
      <c r="D94" s="3" t="s">
        <v>332</v>
      </c>
      <c r="E94" s="3" t="s">
        <v>333</v>
      </c>
      <c r="F94" s="6">
        <v>7473.51</v>
      </c>
      <c r="G94" s="4">
        <v>0</v>
      </c>
      <c r="H94" s="4">
        <v>0</v>
      </c>
      <c r="I94" s="4">
        <v>0</v>
      </c>
      <c r="J94" s="4">
        <v>0</v>
      </c>
      <c r="K94" s="5">
        <f t="shared" si="0"/>
        <v>7473.51</v>
      </c>
      <c r="L94" s="4"/>
      <c r="M94" s="10">
        <f t="shared" si="1"/>
        <v>7473.51</v>
      </c>
      <c r="N94" s="3" t="s">
        <v>283</v>
      </c>
    </row>
    <row r="95" spans="1:14" x14ac:dyDescent="0.25">
      <c r="A95" s="3" t="s">
        <v>34</v>
      </c>
      <c r="B95" s="31" t="s">
        <v>35</v>
      </c>
      <c r="C95" s="3" t="s">
        <v>334</v>
      </c>
      <c r="D95" s="3" t="s">
        <v>335</v>
      </c>
      <c r="E95" s="3" t="s">
        <v>298</v>
      </c>
      <c r="F95" s="6">
        <v>11814.84</v>
      </c>
      <c r="G95" s="4">
        <v>0</v>
      </c>
      <c r="H95" s="4">
        <v>0</v>
      </c>
      <c r="I95" s="4">
        <v>0</v>
      </c>
      <c r="J95" s="4">
        <v>0</v>
      </c>
      <c r="K95" s="5">
        <f t="shared" si="0"/>
        <v>11814.84</v>
      </c>
      <c r="L95" s="4"/>
      <c r="M95" s="10">
        <f t="shared" si="1"/>
        <v>11814.84</v>
      </c>
      <c r="N95" s="3" t="s">
        <v>283</v>
      </c>
    </row>
    <row r="96" spans="1:14" x14ac:dyDescent="0.25">
      <c r="A96" s="3" t="s">
        <v>177</v>
      </c>
      <c r="B96" s="31" t="s">
        <v>178</v>
      </c>
      <c r="C96" s="3"/>
      <c r="D96" s="3"/>
      <c r="E96" s="3"/>
      <c r="F96" s="6">
        <v>17764.439999999999</v>
      </c>
      <c r="G96" s="4">
        <v>0</v>
      </c>
      <c r="H96" s="4">
        <v>0</v>
      </c>
      <c r="I96" s="4">
        <v>0</v>
      </c>
      <c r="J96" s="4">
        <v>0</v>
      </c>
      <c r="K96" s="5">
        <f t="shared" si="0"/>
        <v>17764.439999999999</v>
      </c>
      <c r="L96" s="4"/>
      <c r="M96" s="10">
        <f t="shared" si="1"/>
        <v>17764.439999999999</v>
      </c>
      <c r="N96" s="3" t="s">
        <v>284</v>
      </c>
    </row>
    <row r="97" spans="1:14" x14ac:dyDescent="0.25">
      <c r="A97" s="3" t="s">
        <v>96</v>
      </c>
      <c r="B97" s="31" t="s">
        <v>97</v>
      </c>
      <c r="C97" s="3"/>
      <c r="D97" s="3"/>
      <c r="E97" s="3"/>
      <c r="F97" s="6">
        <v>16535.54</v>
      </c>
      <c r="G97" s="4">
        <v>-30.6</v>
      </c>
      <c r="H97" s="4">
        <v>0</v>
      </c>
      <c r="I97" s="4">
        <v>0</v>
      </c>
      <c r="J97" s="4">
        <v>0</v>
      </c>
      <c r="K97" s="5">
        <f t="shared" si="0"/>
        <v>16504.940000000002</v>
      </c>
      <c r="L97" s="4"/>
      <c r="M97" s="10">
        <f t="shared" si="1"/>
        <v>16504.940000000002</v>
      </c>
      <c r="N97" s="3" t="s">
        <v>285</v>
      </c>
    </row>
    <row r="98" spans="1:14" x14ac:dyDescent="0.25">
      <c r="A98" s="3" t="s">
        <v>98</v>
      </c>
      <c r="B98" s="31" t="s">
        <v>99</v>
      </c>
      <c r="C98" s="3"/>
      <c r="D98" s="3"/>
      <c r="E98" s="3"/>
      <c r="F98" s="6">
        <v>19232.73</v>
      </c>
      <c r="G98" s="4">
        <v>0</v>
      </c>
      <c r="H98" s="4">
        <v>0</v>
      </c>
      <c r="I98" s="4">
        <v>0</v>
      </c>
      <c r="J98" s="4">
        <v>0</v>
      </c>
      <c r="K98" s="5">
        <f t="shared" si="0"/>
        <v>19232.73</v>
      </c>
      <c r="L98" s="4"/>
      <c r="M98" s="10">
        <f t="shared" si="1"/>
        <v>19232.73</v>
      </c>
      <c r="N98" s="3" t="s">
        <v>285</v>
      </c>
    </row>
    <row r="99" spans="1:14" x14ac:dyDescent="0.25">
      <c r="A99" s="3" t="s">
        <v>100</v>
      </c>
      <c r="B99" s="31" t="s">
        <v>101</v>
      </c>
      <c r="C99" s="3"/>
      <c r="D99" s="3"/>
      <c r="E99" s="3"/>
      <c r="F99" s="6">
        <v>18618.48</v>
      </c>
      <c r="G99" s="4">
        <v>0</v>
      </c>
      <c r="H99" s="4">
        <v>0</v>
      </c>
      <c r="I99" s="4">
        <v>0</v>
      </c>
      <c r="J99" s="4">
        <v>0</v>
      </c>
      <c r="K99" s="5">
        <f t="shared" si="0"/>
        <v>18618.48</v>
      </c>
      <c r="L99" s="4"/>
      <c r="M99" s="10">
        <f t="shared" si="1"/>
        <v>18618.48</v>
      </c>
      <c r="N99" s="3" t="s">
        <v>285</v>
      </c>
    </row>
    <row r="100" spans="1:14" x14ac:dyDescent="0.25">
      <c r="A100" s="3" t="s">
        <v>130</v>
      </c>
      <c r="B100" s="31" t="s">
        <v>131</v>
      </c>
      <c r="C100" s="3"/>
      <c r="D100" s="3"/>
      <c r="E100" s="3"/>
      <c r="F100" s="6">
        <v>30861.86</v>
      </c>
      <c r="G100" s="4">
        <v>0</v>
      </c>
      <c r="H100" s="4">
        <v>0</v>
      </c>
      <c r="I100" s="4">
        <v>0</v>
      </c>
      <c r="J100" s="4">
        <v>0</v>
      </c>
      <c r="K100" s="5">
        <f t="shared" si="0"/>
        <v>30861.86</v>
      </c>
      <c r="L100" s="4"/>
      <c r="M100" s="10">
        <f t="shared" si="1"/>
        <v>30861.86</v>
      </c>
      <c r="N100" s="3" t="s">
        <v>283</v>
      </c>
    </row>
    <row r="101" spans="1:14" x14ac:dyDescent="0.25">
      <c r="A101" s="3" t="s">
        <v>38</v>
      </c>
      <c r="B101" s="31" t="s">
        <v>39</v>
      </c>
      <c r="C101" s="3"/>
      <c r="D101" s="3"/>
      <c r="E101" s="3"/>
      <c r="F101" s="6">
        <v>87237.6</v>
      </c>
      <c r="G101" s="4">
        <v>0</v>
      </c>
      <c r="H101" s="4">
        <v>0</v>
      </c>
      <c r="I101" s="4">
        <v>0</v>
      </c>
      <c r="J101" s="4">
        <v>0</v>
      </c>
      <c r="K101" s="5">
        <f t="shared" ref="K101:K164" si="2">F101+G101+H101+I101+J101</f>
        <v>87237.6</v>
      </c>
      <c r="L101" s="4"/>
      <c r="M101" s="10">
        <f t="shared" ref="M101:M164" si="3">K101-L101</f>
        <v>87237.6</v>
      </c>
      <c r="N101" s="3" t="s">
        <v>283</v>
      </c>
    </row>
    <row r="102" spans="1:14" x14ac:dyDescent="0.25">
      <c r="A102" s="3" t="s">
        <v>146</v>
      </c>
      <c r="B102" s="31" t="s">
        <v>147</v>
      </c>
      <c r="C102" s="3" t="s">
        <v>336</v>
      </c>
      <c r="D102" s="3" t="s">
        <v>337</v>
      </c>
      <c r="E102" s="3">
        <v>0</v>
      </c>
      <c r="F102" s="6">
        <v>4281.3</v>
      </c>
      <c r="G102" s="4">
        <v>0</v>
      </c>
      <c r="H102" s="4">
        <v>0</v>
      </c>
      <c r="I102" s="4">
        <v>0</v>
      </c>
      <c r="J102" s="4">
        <v>-2.2599999999999998</v>
      </c>
      <c r="K102" s="5">
        <f t="shared" si="2"/>
        <v>4279.04</v>
      </c>
      <c r="L102" s="4"/>
      <c r="M102" s="10">
        <f t="shared" si="3"/>
        <v>4279.04</v>
      </c>
      <c r="N102" s="3" t="s">
        <v>282</v>
      </c>
    </row>
    <row r="103" spans="1:14" x14ac:dyDescent="0.25">
      <c r="A103" s="3" t="s">
        <v>110</v>
      </c>
      <c r="B103" s="31" t="s">
        <v>111</v>
      </c>
      <c r="C103" s="3"/>
      <c r="D103" s="3"/>
      <c r="E103" s="3"/>
      <c r="F103" s="6">
        <v>1043.6400000000001</v>
      </c>
      <c r="G103" s="4">
        <v>0</v>
      </c>
      <c r="H103" s="4">
        <v>0</v>
      </c>
      <c r="I103" s="4">
        <v>0</v>
      </c>
      <c r="J103" s="4">
        <v>0</v>
      </c>
      <c r="K103" s="5">
        <f t="shared" si="2"/>
        <v>1043.6400000000001</v>
      </c>
      <c r="L103" s="4"/>
      <c r="M103" s="10">
        <f t="shared" si="3"/>
        <v>1043.6400000000001</v>
      </c>
      <c r="N103" s="3" t="s">
        <v>283</v>
      </c>
    </row>
    <row r="104" spans="1:14" x14ac:dyDescent="0.25">
      <c r="A104" s="3" t="s">
        <v>40</v>
      </c>
      <c r="B104" s="31" t="s">
        <v>41</v>
      </c>
      <c r="C104" s="3"/>
      <c r="D104" s="3"/>
      <c r="E104" s="3"/>
      <c r="F104" s="6">
        <v>72658.39</v>
      </c>
      <c r="G104" s="4">
        <v>0</v>
      </c>
      <c r="H104" s="4">
        <v>0</v>
      </c>
      <c r="I104" s="4">
        <v>0</v>
      </c>
      <c r="J104" s="4">
        <v>0</v>
      </c>
      <c r="K104" s="5">
        <f t="shared" si="2"/>
        <v>72658.39</v>
      </c>
      <c r="L104" s="4"/>
      <c r="M104" s="10">
        <f t="shared" si="3"/>
        <v>72658.39</v>
      </c>
      <c r="N104" s="3" t="s">
        <v>283</v>
      </c>
    </row>
    <row r="105" spans="1:14" x14ac:dyDescent="0.25">
      <c r="A105" s="11" t="s">
        <v>191</v>
      </c>
      <c r="B105" s="26" t="s">
        <v>192</v>
      </c>
      <c r="C105" s="11" t="s">
        <v>338</v>
      </c>
      <c r="D105" s="11" t="s">
        <v>339</v>
      </c>
      <c r="E105" s="11" t="s">
        <v>298</v>
      </c>
      <c r="F105" s="13">
        <v>0</v>
      </c>
      <c r="G105" s="13">
        <v>0</v>
      </c>
      <c r="H105" s="12">
        <v>20000</v>
      </c>
      <c r="I105" s="13">
        <v>0</v>
      </c>
      <c r="J105" s="13">
        <v>0</v>
      </c>
      <c r="K105" s="14">
        <f t="shared" si="2"/>
        <v>20000</v>
      </c>
      <c r="L105" s="13"/>
      <c r="M105" s="15">
        <f t="shared" si="3"/>
        <v>20000</v>
      </c>
      <c r="N105" s="11" t="s">
        <v>284</v>
      </c>
    </row>
    <row r="106" spans="1:14" x14ac:dyDescent="0.25">
      <c r="A106" s="11" t="s">
        <v>66</v>
      </c>
      <c r="B106" s="26" t="s">
        <v>67</v>
      </c>
      <c r="C106" s="11" t="s">
        <v>340</v>
      </c>
      <c r="D106" s="11" t="s">
        <v>341</v>
      </c>
      <c r="E106" s="11" t="s">
        <v>298</v>
      </c>
      <c r="F106" s="13">
        <v>0</v>
      </c>
      <c r="G106" s="13">
        <v>0</v>
      </c>
      <c r="H106" s="13">
        <v>0</v>
      </c>
      <c r="I106" s="13">
        <v>0</v>
      </c>
      <c r="J106" s="12">
        <v>13182.26</v>
      </c>
      <c r="K106" s="14">
        <f t="shared" si="2"/>
        <v>13182.26</v>
      </c>
      <c r="L106" s="12"/>
      <c r="M106" s="15">
        <f t="shared" si="3"/>
        <v>13182.26</v>
      </c>
      <c r="N106" s="11" t="s">
        <v>283</v>
      </c>
    </row>
    <row r="107" spans="1:14" x14ac:dyDescent="0.25">
      <c r="A107" s="3" t="s">
        <v>42</v>
      </c>
      <c r="B107" s="31" t="s">
        <v>43</v>
      </c>
      <c r="C107" s="3"/>
      <c r="D107" s="3"/>
      <c r="E107" s="3"/>
      <c r="F107" s="6">
        <v>30192.05</v>
      </c>
      <c r="G107" s="4">
        <v>0</v>
      </c>
      <c r="H107" s="4">
        <v>0</v>
      </c>
      <c r="I107" s="4">
        <v>0</v>
      </c>
      <c r="J107" s="4">
        <v>-10.08</v>
      </c>
      <c r="K107" s="5">
        <f t="shared" si="2"/>
        <v>30181.969999999998</v>
      </c>
      <c r="L107" s="4"/>
      <c r="M107" s="10">
        <f t="shared" si="3"/>
        <v>30181.969999999998</v>
      </c>
      <c r="N107" s="3" t="s">
        <v>288</v>
      </c>
    </row>
    <row r="108" spans="1:14" x14ac:dyDescent="0.25">
      <c r="A108" s="11" t="s">
        <v>243</v>
      </c>
      <c r="B108" s="26" t="s">
        <v>244</v>
      </c>
      <c r="C108" s="11"/>
      <c r="D108" s="11"/>
      <c r="E108" s="11"/>
      <c r="F108" s="12">
        <v>7157.27</v>
      </c>
      <c r="G108" s="12">
        <v>1624.06</v>
      </c>
      <c r="H108" s="13">
        <v>0</v>
      </c>
      <c r="I108" s="13">
        <v>0</v>
      </c>
      <c r="J108" s="13">
        <v>0</v>
      </c>
      <c r="K108" s="14">
        <f t="shared" si="2"/>
        <v>8781.33</v>
      </c>
      <c r="L108" s="13"/>
      <c r="M108" s="15">
        <f t="shared" si="3"/>
        <v>8781.33</v>
      </c>
      <c r="N108" s="11" t="s">
        <v>285</v>
      </c>
    </row>
    <row r="109" spans="1:14" x14ac:dyDescent="0.25">
      <c r="A109" s="3" t="s">
        <v>108</v>
      </c>
      <c r="B109" s="31" t="s">
        <v>109</v>
      </c>
      <c r="C109" s="3"/>
      <c r="D109" s="3"/>
      <c r="E109" s="3"/>
      <c r="F109" s="4">
        <v>119.76</v>
      </c>
      <c r="G109" s="4">
        <v>0</v>
      </c>
      <c r="H109" s="4">
        <v>0</v>
      </c>
      <c r="I109" s="4">
        <v>0</v>
      </c>
      <c r="J109" s="4">
        <v>0</v>
      </c>
      <c r="K109" s="5">
        <f t="shared" si="2"/>
        <v>119.76</v>
      </c>
      <c r="L109" s="4"/>
      <c r="M109" s="10">
        <f t="shared" si="3"/>
        <v>119.76</v>
      </c>
      <c r="N109" s="3" t="s">
        <v>283</v>
      </c>
    </row>
    <row r="110" spans="1:14" x14ac:dyDescent="0.25">
      <c r="A110" s="3" t="s">
        <v>48</v>
      </c>
      <c r="B110" s="31" t="s">
        <v>49</v>
      </c>
      <c r="C110" s="3"/>
      <c r="D110" s="3"/>
      <c r="E110" s="3"/>
      <c r="F110" s="6">
        <v>2749.46</v>
      </c>
      <c r="G110" s="4">
        <v>0</v>
      </c>
      <c r="H110" s="4">
        <v>0</v>
      </c>
      <c r="I110" s="4">
        <v>0</v>
      </c>
      <c r="J110" s="4">
        <v>0</v>
      </c>
      <c r="K110" s="5">
        <f t="shared" si="2"/>
        <v>2749.46</v>
      </c>
      <c r="L110" s="4"/>
      <c r="M110" s="10">
        <f t="shared" si="3"/>
        <v>2749.46</v>
      </c>
      <c r="N110" s="3" t="s">
        <v>283</v>
      </c>
    </row>
    <row r="111" spans="1:14" x14ac:dyDescent="0.25">
      <c r="A111" s="11" t="s">
        <v>50</v>
      </c>
      <c r="B111" s="26" t="s">
        <v>51</v>
      </c>
      <c r="C111" s="11" t="s">
        <v>342</v>
      </c>
      <c r="D111" s="11" t="s">
        <v>343</v>
      </c>
      <c r="E111" s="11" t="s">
        <v>298</v>
      </c>
      <c r="F111" s="13">
        <v>0</v>
      </c>
      <c r="G111" s="13">
        <v>0</v>
      </c>
      <c r="H111" s="13">
        <v>0</v>
      </c>
      <c r="I111" s="13">
        <v>0</v>
      </c>
      <c r="J111" s="12">
        <v>6087.51</v>
      </c>
      <c r="K111" s="14">
        <f t="shared" si="2"/>
        <v>6087.51</v>
      </c>
      <c r="L111" s="12"/>
      <c r="M111" s="15">
        <f t="shared" si="3"/>
        <v>6087.51</v>
      </c>
      <c r="N111" s="11" t="s">
        <v>283</v>
      </c>
    </row>
    <row r="112" spans="1:14" x14ac:dyDescent="0.25">
      <c r="A112" s="3" t="s">
        <v>279</v>
      </c>
      <c r="B112" s="31" t="s">
        <v>280</v>
      </c>
      <c r="C112" s="3"/>
      <c r="D112" s="3"/>
      <c r="E112" s="3"/>
      <c r="F112" s="6">
        <v>3504</v>
      </c>
      <c r="G112" s="4">
        <v>0</v>
      </c>
      <c r="H112" s="4">
        <v>0</v>
      </c>
      <c r="I112" s="4">
        <v>0</v>
      </c>
      <c r="J112" s="4">
        <v>0</v>
      </c>
      <c r="K112" s="5">
        <f t="shared" si="2"/>
        <v>3504</v>
      </c>
      <c r="L112" s="4"/>
      <c r="M112" s="10">
        <f t="shared" si="3"/>
        <v>3504</v>
      </c>
      <c r="N112" s="3" t="s">
        <v>283</v>
      </c>
    </row>
    <row r="113" spans="1:14" x14ac:dyDescent="0.25">
      <c r="A113" s="3" t="s">
        <v>217</v>
      </c>
      <c r="B113" s="31" t="s">
        <v>218</v>
      </c>
      <c r="C113" s="3"/>
      <c r="D113" s="3"/>
      <c r="E113" s="3"/>
      <c r="F113" s="6">
        <v>18207.990000000002</v>
      </c>
      <c r="G113" s="4">
        <v>0</v>
      </c>
      <c r="H113" s="4">
        <v>0</v>
      </c>
      <c r="I113" s="4">
        <v>0</v>
      </c>
      <c r="J113" s="4">
        <v>0</v>
      </c>
      <c r="K113" s="5">
        <f t="shared" si="2"/>
        <v>18207.990000000002</v>
      </c>
      <c r="L113" s="4"/>
      <c r="M113" s="10">
        <f t="shared" si="3"/>
        <v>18207.990000000002</v>
      </c>
      <c r="N113" s="3" t="s">
        <v>286</v>
      </c>
    </row>
    <row r="114" spans="1:14" x14ac:dyDescent="0.25">
      <c r="A114" s="3" t="s">
        <v>30</v>
      </c>
      <c r="B114" s="31" t="s">
        <v>31</v>
      </c>
      <c r="C114" s="3"/>
      <c r="D114" s="3"/>
      <c r="E114" s="3"/>
      <c r="F114" s="6">
        <v>14160</v>
      </c>
      <c r="G114" s="4">
        <v>0</v>
      </c>
      <c r="H114" s="4">
        <v>0</v>
      </c>
      <c r="I114" s="4">
        <v>0</v>
      </c>
      <c r="J114" s="4">
        <v>0</v>
      </c>
      <c r="K114" s="5">
        <f t="shared" si="2"/>
        <v>14160</v>
      </c>
      <c r="L114" s="4"/>
      <c r="M114" s="10">
        <f t="shared" si="3"/>
        <v>14160</v>
      </c>
      <c r="N114" s="3" t="s">
        <v>283</v>
      </c>
    </row>
    <row r="115" spans="1:14" x14ac:dyDescent="0.25">
      <c r="A115" s="3" t="s">
        <v>56</v>
      </c>
      <c r="B115" s="31" t="s">
        <v>57</v>
      </c>
      <c r="C115" s="3"/>
      <c r="D115" s="3"/>
      <c r="E115" s="3"/>
      <c r="F115" s="6">
        <v>5239.71</v>
      </c>
      <c r="G115" s="4">
        <v>0</v>
      </c>
      <c r="H115" s="4">
        <v>0</v>
      </c>
      <c r="I115" s="4">
        <v>0</v>
      </c>
      <c r="J115" s="4">
        <v>-31.54</v>
      </c>
      <c r="K115" s="5">
        <f t="shared" si="2"/>
        <v>5208.17</v>
      </c>
      <c r="L115" s="4"/>
      <c r="M115" s="10">
        <f t="shared" si="3"/>
        <v>5208.17</v>
      </c>
      <c r="N115" s="3" t="s">
        <v>283</v>
      </c>
    </row>
    <row r="116" spans="1:14" x14ac:dyDescent="0.25">
      <c r="A116" s="11" t="s">
        <v>58</v>
      </c>
      <c r="B116" s="26" t="s">
        <v>59</v>
      </c>
      <c r="C116" s="11"/>
      <c r="D116" s="11"/>
      <c r="E116" s="11"/>
      <c r="F116" s="12">
        <v>24493.200000000001</v>
      </c>
      <c r="G116" s="12">
        <v>16826.400000000001</v>
      </c>
      <c r="H116" s="13">
        <v>0</v>
      </c>
      <c r="I116" s="13">
        <v>0</v>
      </c>
      <c r="J116" s="13">
        <v>0</v>
      </c>
      <c r="K116" s="14">
        <f t="shared" si="2"/>
        <v>41319.600000000006</v>
      </c>
      <c r="L116" s="13"/>
      <c r="M116" s="15">
        <f t="shared" si="3"/>
        <v>41319.600000000006</v>
      </c>
      <c r="N116" s="11" t="s">
        <v>283</v>
      </c>
    </row>
    <row r="117" spans="1:14" x14ac:dyDescent="0.25">
      <c r="A117" s="21" t="s">
        <v>154</v>
      </c>
      <c r="B117" s="21" t="s">
        <v>155</v>
      </c>
      <c r="C117" s="21" t="s">
        <v>344</v>
      </c>
      <c r="D117" s="21" t="s">
        <v>345</v>
      </c>
      <c r="E117" s="21" t="s">
        <v>298</v>
      </c>
      <c r="F117" s="22">
        <v>54792.49</v>
      </c>
      <c r="G117" s="22">
        <v>0</v>
      </c>
      <c r="H117" s="23">
        <v>0</v>
      </c>
      <c r="I117" s="23">
        <v>0</v>
      </c>
      <c r="J117" s="23">
        <v>0</v>
      </c>
      <c r="K117" s="24">
        <f t="shared" si="2"/>
        <v>54792.49</v>
      </c>
      <c r="L117" s="23"/>
      <c r="M117" s="25">
        <f t="shared" si="3"/>
        <v>54792.49</v>
      </c>
      <c r="N117" s="21" t="s">
        <v>283</v>
      </c>
    </row>
    <row r="118" spans="1:14" x14ac:dyDescent="0.25">
      <c r="A118" s="3" t="s">
        <v>60</v>
      </c>
      <c r="B118" s="31" t="s">
        <v>61</v>
      </c>
      <c r="C118" s="3"/>
      <c r="D118" s="3"/>
      <c r="E118" s="3"/>
      <c r="F118" s="6">
        <v>4410.12</v>
      </c>
      <c r="G118" s="4">
        <v>0</v>
      </c>
      <c r="H118" s="4">
        <v>-40.200000000000003</v>
      </c>
      <c r="I118" s="4">
        <v>0</v>
      </c>
      <c r="J118" s="4">
        <v>-130.80000000000001</v>
      </c>
      <c r="K118" s="5">
        <f t="shared" si="2"/>
        <v>4239.12</v>
      </c>
      <c r="L118" s="4"/>
      <c r="M118" s="10">
        <f t="shared" si="3"/>
        <v>4239.12</v>
      </c>
      <c r="N118" s="3" t="s">
        <v>289</v>
      </c>
    </row>
    <row r="119" spans="1:14" x14ac:dyDescent="0.25">
      <c r="A119" s="3" t="s">
        <v>165</v>
      </c>
      <c r="B119" s="31" t="s">
        <v>166</v>
      </c>
      <c r="C119" s="3"/>
      <c r="D119" s="3"/>
      <c r="E119" s="3"/>
      <c r="F119" s="6">
        <v>3458.35</v>
      </c>
      <c r="G119" s="4">
        <v>0</v>
      </c>
      <c r="H119" s="4">
        <v>0</v>
      </c>
      <c r="I119" s="4">
        <v>0</v>
      </c>
      <c r="J119" s="4">
        <v>0</v>
      </c>
      <c r="K119" s="5">
        <f t="shared" si="2"/>
        <v>3458.35</v>
      </c>
      <c r="L119" s="4"/>
      <c r="M119" s="10">
        <f t="shared" si="3"/>
        <v>3458.35</v>
      </c>
      <c r="N119" s="3" t="s">
        <v>283</v>
      </c>
    </row>
    <row r="120" spans="1:14" x14ac:dyDescent="0.25">
      <c r="A120" s="3" t="s">
        <v>112</v>
      </c>
      <c r="B120" s="31" t="s">
        <v>113</v>
      </c>
      <c r="C120" s="3" t="s">
        <v>346</v>
      </c>
      <c r="D120" s="3" t="s">
        <v>347</v>
      </c>
      <c r="E120" s="3" t="s">
        <v>307</v>
      </c>
      <c r="F120" s="6">
        <v>47369.25</v>
      </c>
      <c r="G120" s="4">
        <v>0</v>
      </c>
      <c r="H120" s="4">
        <v>0</v>
      </c>
      <c r="I120" s="4">
        <v>0</v>
      </c>
      <c r="J120" s="4">
        <v>-97.51</v>
      </c>
      <c r="K120" s="5">
        <f t="shared" si="2"/>
        <v>47271.74</v>
      </c>
      <c r="L120" s="4"/>
      <c r="M120" s="10">
        <f t="shared" si="3"/>
        <v>47271.74</v>
      </c>
      <c r="N120" s="3" t="s">
        <v>283</v>
      </c>
    </row>
    <row r="121" spans="1:14" x14ac:dyDescent="0.25">
      <c r="A121" s="3" t="s">
        <v>124</v>
      </c>
      <c r="B121" s="31" t="s">
        <v>125</v>
      </c>
      <c r="C121" s="3"/>
      <c r="D121" s="3"/>
      <c r="E121" s="3"/>
      <c r="F121" s="6">
        <v>1800</v>
      </c>
      <c r="G121" s="4">
        <v>0</v>
      </c>
      <c r="H121" s="4">
        <v>0</v>
      </c>
      <c r="I121" s="4">
        <v>0</v>
      </c>
      <c r="J121" s="4">
        <v>0</v>
      </c>
      <c r="K121" s="5">
        <f t="shared" si="2"/>
        <v>1800</v>
      </c>
      <c r="L121" s="4"/>
      <c r="M121" s="10">
        <f t="shared" si="3"/>
        <v>1800</v>
      </c>
      <c r="N121" s="3" t="s">
        <v>283</v>
      </c>
    </row>
    <row r="122" spans="1:14" x14ac:dyDescent="0.25">
      <c r="A122" s="3" t="s">
        <v>150</v>
      </c>
      <c r="B122" s="31" t="s">
        <v>151</v>
      </c>
      <c r="C122" s="3"/>
      <c r="D122" s="3"/>
      <c r="E122" s="3"/>
      <c r="F122" s="6">
        <v>4116.96</v>
      </c>
      <c r="G122" s="4">
        <v>0</v>
      </c>
      <c r="H122" s="4">
        <v>0</v>
      </c>
      <c r="I122" s="4">
        <v>0</v>
      </c>
      <c r="J122" s="4">
        <v>0</v>
      </c>
      <c r="K122" s="5">
        <f t="shared" si="2"/>
        <v>4116.96</v>
      </c>
      <c r="L122" s="4"/>
      <c r="M122" s="10">
        <f t="shared" si="3"/>
        <v>4116.96</v>
      </c>
      <c r="N122" s="3" t="s">
        <v>283</v>
      </c>
    </row>
    <row r="123" spans="1:14" x14ac:dyDescent="0.25">
      <c r="A123" s="3" t="s">
        <v>171</v>
      </c>
      <c r="B123" s="31" t="s">
        <v>172</v>
      </c>
      <c r="C123" s="3"/>
      <c r="D123" s="3"/>
      <c r="E123" s="3"/>
      <c r="F123" s="6">
        <v>32327.1</v>
      </c>
      <c r="G123" s="4">
        <v>-1.24</v>
      </c>
      <c r="H123" s="4">
        <v>0</v>
      </c>
      <c r="I123" s="4">
        <v>0</v>
      </c>
      <c r="J123" s="4">
        <v>0</v>
      </c>
      <c r="K123" s="5">
        <f t="shared" si="2"/>
        <v>32325.859999999997</v>
      </c>
      <c r="L123" s="4"/>
      <c r="M123" s="10">
        <f t="shared" si="3"/>
        <v>32325.859999999997</v>
      </c>
      <c r="N123" s="3" t="s">
        <v>283</v>
      </c>
    </row>
    <row r="124" spans="1:14" x14ac:dyDescent="0.25">
      <c r="A124" s="11" t="s">
        <v>275</v>
      </c>
      <c r="B124" s="26" t="s">
        <v>276</v>
      </c>
      <c r="C124" s="11"/>
      <c r="D124" s="11"/>
      <c r="E124" s="11"/>
      <c r="F124" s="12">
        <v>-48896.54</v>
      </c>
      <c r="G124" s="12">
        <v>100000</v>
      </c>
      <c r="H124" s="13">
        <v>0</v>
      </c>
      <c r="I124" s="13">
        <v>0</v>
      </c>
      <c r="J124" s="13">
        <v>0</v>
      </c>
      <c r="K124" s="14">
        <f t="shared" si="2"/>
        <v>51103.46</v>
      </c>
      <c r="L124" s="13"/>
      <c r="M124" s="15">
        <f t="shared" si="3"/>
        <v>51103.46</v>
      </c>
      <c r="N124" s="11">
        <v>0</v>
      </c>
    </row>
    <row r="125" spans="1:14" x14ac:dyDescent="0.25">
      <c r="A125" s="3" t="s">
        <v>221</v>
      </c>
      <c r="B125" s="31" t="s">
        <v>222</v>
      </c>
      <c r="C125" s="3"/>
      <c r="D125" s="3"/>
      <c r="E125" s="3"/>
      <c r="F125" s="6">
        <v>1617.78</v>
      </c>
      <c r="G125" s="4">
        <v>0</v>
      </c>
      <c r="H125" s="4">
        <v>0</v>
      </c>
      <c r="I125" s="4">
        <v>0</v>
      </c>
      <c r="J125" s="4">
        <v>0</v>
      </c>
      <c r="K125" s="5">
        <f t="shared" si="2"/>
        <v>1617.78</v>
      </c>
      <c r="L125" s="4"/>
      <c r="M125" s="10">
        <f t="shared" si="3"/>
        <v>1617.78</v>
      </c>
      <c r="N125" s="3" t="s">
        <v>290</v>
      </c>
    </row>
    <row r="126" spans="1:14" x14ac:dyDescent="0.25">
      <c r="A126" s="11" t="s">
        <v>187</v>
      </c>
      <c r="B126" s="26" t="s">
        <v>188</v>
      </c>
      <c r="C126" s="11" t="s">
        <v>348</v>
      </c>
      <c r="D126" s="11" t="s">
        <v>349</v>
      </c>
      <c r="E126" s="11" t="s">
        <v>298</v>
      </c>
      <c r="F126" s="12">
        <v>9787.26</v>
      </c>
      <c r="G126" s="12">
        <v>3237.48</v>
      </c>
      <c r="H126" s="13">
        <v>0</v>
      </c>
      <c r="I126" s="13">
        <v>0</v>
      </c>
      <c r="J126" s="13">
        <v>0</v>
      </c>
      <c r="K126" s="14">
        <f t="shared" si="2"/>
        <v>13024.74</v>
      </c>
      <c r="L126" s="13"/>
      <c r="M126" s="15">
        <f t="shared" si="3"/>
        <v>13024.74</v>
      </c>
      <c r="N126" s="11" t="s">
        <v>286</v>
      </c>
    </row>
    <row r="127" spans="1:14" x14ac:dyDescent="0.25">
      <c r="A127" s="3" t="s">
        <v>225</v>
      </c>
      <c r="B127" s="31" t="s">
        <v>226</v>
      </c>
      <c r="C127" s="3"/>
      <c r="D127" s="3"/>
      <c r="E127" s="3"/>
      <c r="F127" s="6">
        <v>24150.86</v>
      </c>
      <c r="G127" s="4">
        <v>0</v>
      </c>
      <c r="H127" s="4">
        <v>0</v>
      </c>
      <c r="I127" s="4">
        <v>0</v>
      </c>
      <c r="J127" s="4">
        <v>0</v>
      </c>
      <c r="K127" s="5">
        <f t="shared" si="2"/>
        <v>24150.86</v>
      </c>
      <c r="L127" s="4"/>
      <c r="M127" s="10">
        <f t="shared" si="3"/>
        <v>24150.86</v>
      </c>
      <c r="N127" s="3" t="s">
        <v>283</v>
      </c>
    </row>
    <row r="128" spans="1:14" x14ac:dyDescent="0.25">
      <c r="A128" s="3" t="s">
        <v>211</v>
      </c>
      <c r="B128" s="31" t="s">
        <v>212</v>
      </c>
      <c r="C128" s="3"/>
      <c r="D128" s="3"/>
      <c r="E128" s="3"/>
      <c r="F128" s="6">
        <v>24911.32</v>
      </c>
      <c r="G128" s="4">
        <v>0</v>
      </c>
      <c r="H128" s="4">
        <v>0</v>
      </c>
      <c r="I128" s="4">
        <v>0</v>
      </c>
      <c r="J128" s="4">
        <v>0</v>
      </c>
      <c r="K128" s="5">
        <f t="shared" si="2"/>
        <v>24911.32</v>
      </c>
      <c r="L128" s="4"/>
      <c r="M128" s="10">
        <f t="shared" si="3"/>
        <v>24911.32</v>
      </c>
      <c r="N128" s="3" t="s">
        <v>291</v>
      </c>
    </row>
    <row r="129" spans="1:14" x14ac:dyDescent="0.25">
      <c r="A129" s="3" t="s">
        <v>169</v>
      </c>
      <c r="B129" s="31" t="s">
        <v>170</v>
      </c>
      <c r="C129" s="3"/>
      <c r="D129" s="3"/>
      <c r="E129" s="3"/>
      <c r="F129" s="6">
        <v>33056.04</v>
      </c>
      <c r="G129" s="4">
        <v>0</v>
      </c>
      <c r="H129" s="4">
        <v>0</v>
      </c>
      <c r="I129" s="4">
        <v>0</v>
      </c>
      <c r="J129" s="4">
        <v>0</v>
      </c>
      <c r="K129" s="5">
        <f t="shared" si="2"/>
        <v>33056.04</v>
      </c>
      <c r="L129" s="4"/>
      <c r="M129" s="10">
        <f t="shared" si="3"/>
        <v>33056.04</v>
      </c>
      <c r="N129" s="3" t="s">
        <v>283</v>
      </c>
    </row>
    <row r="130" spans="1:14" x14ac:dyDescent="0.25">
      <c r="A130" s="3" t="s">
        <v>72</v>
      </c>
      <c r="B130" s="31" t="s">
        <v>73</v>
      </c>
      <c r="C130" s="3" t="s">
        <v>350</v>
      </c>
      <c r="D130" s="3" t="s">
        <v>351</v>
      </c>
      <c r="E130" s="3" t="s">
        <v>298</v>
      </c>
      <c r="F130" s="6">
        <v>112894.19</v>
      </c>
      <c r="G130" s="4">
        <v>0</v>
      </c>
      <c r="H130" s="4">
        <v>0</v>
      </c>
      <c r="I130" s="4">
        <v>0</v>
      </c>
      <c r="J130" s="4">
        <v>0</v>
      </c>
      <c r="K130" s="5">
        <f t="shared" si="2"/>
        <v>112894.19</v>
      </c>
      <c r="L130" s="4"/>
      <c r="M130" s="10">
        <f t="shared" si="3"/>
        <v>112894.19</v>
      </c>
      <c r="N130" s="3" t="s">
        <v>283</v>
      </c>
    </row>
    <row r="131" spans="1:14" x14ac:dyDescent="0.25">
      <c r="A131" s="11" t="s">
        <v>70</v>
      </c>
      <c r="B131" s="26" t="s">
        <v>71</v>
      </c>
      <c r="C131" s="11"/>
      <c r="D131" s="11"/>
      <c r="E131" s="11"/>
      <c r="F131" s="13">
        <v>0</v>
      </c>
      <c r="G131" s="12">
        <v>19279.099999999999</v>
      </c>
      <c r="H131" s="13">
        <v>0</v>
      </c>
      <c r="I131" s="13">
        <v>0</v>
      </c>
      <c r="J131" s="13">
        <v>0</v>
      </c>
      <c r="K131" s="14">
        <f t="shared" si="2"/>
        <v>19279.099999999999</v>
      </c>
      <c r="L131" s="13"/>
      <c r="M131" s="15">
        <f t="shared" si="3"/>
        <v>19279.099999999999</v>
      </c>
      <c r="N131" s="11" t="s">
        <v>283</v>
      </c>
    </row>
    <row r="132" spans="1:14" x14ac:dyDescent="0.25">
      <c r="A132" s="3" t="s">
        <v>52</v>
      </c>
      <c r="B132" s="31" t="s">
        <v>53</v>
      </c>
      <c r="C132" s="3"/>
      <c r="D132" s="3"/>
      <c r="E132" s="3"/>
      <c r="F132" s="6">
        <v>2900.15</v>
      </c>
      <c r="G132" s="4">
        <v>0</v>
      </c>
      <c r="H132" s="4">
        <v>0</v>
      </c>
      <c r="I132" s="4">
        <v>0</v>
      </c>
      <c r="J132" s="4">
        <v>0</v>
      </c>
      <c r="K132" s="5">
        <f t="shared" si="2"/>
        <v>2900.15</v>
      </c>
      <c r="L132" s="4"/>
      <c r="M132" s="10">
        <f t="shared" si="3"/>
        <v>2900.15</v>
      </c>
      <c r="N132" s="3" t="s">
        <v>283</v>
      </c>
    </row>
    <row r="133" spans="1:14" x14ac:dyDescent="0.25">
      <c r="A133" s="3" t="s">
        <v>54</v>
      </c>
      <c r="B133" s="31" t="s">
        <v>55</v>
      </c>
      <c r="C133" s="3"/>
      <c r="D133" s="3"/>
      <c r="E133" s="3"/>
      <c r="F133" s="6">
        <v>1974</v>
      </c>
      <c r="G133" s="4">
        <v>0</v>
      </c>
      <c r="H133" s="4">
        <v>0</v>
      </c>
      <c r="I133" s="4">
        <v>0</v>
      </c>
      <c r="J133" s="4">
        <v>0</v>
      </c>
      <c r="K133" s="5">
        <f t="shared" si="2"/>
        <v>1974</v>
      </c>
      <c r="L133" s="4"/>
      <c r="M133" s="10">
        <f t="shared" si="3"/>
        <v>1974</v>
      </c>
      <c r="N133" s="3" t="s">
        <v>283</v>
      </c>
    </row>
    <row r="134" spans="1:14" x14ac:dyDescent="0.25">
      <c r="A134" s="3" t="s">
        <v>136</v>
      </c>
      <c r="B134" s="31" t="s">
        <v>137</v>
      </c>
      <c r="C134" s="3"/>
      <c r="D134" s="3"/>
      <c r="E134" s="3"/>
      <c r="F134" s="6">
        <v>12336.98</v>
      </c>
      <c r="G134" s="4">
        <v>0</v>
      </c>
      <c r="H134" s="4">
        <v>0</v>
      </c>
      <c r="I134" s="4">
        <v>0</v>
      </c>
      <c r="J134" s="4">
        <v>0</v>
      </c>
      <c r="K134" s="5">
        <f t="shared" si="2"/>
        <v>12336.98</v>
      </c>
      <c r="L134" s="4"/>
      <c r="M134" s="10">
        <f t="shared" si="3"/>
        <v>12336.98</v>
      </c>
      <c r="N134" s="3" t="s">
        <v>283</v>
      </c>
    </row>
    <row r="135" spans="1:14" x14ac:dyDescent="0.25">
      <c r="A135" s="11" t="s">
        <v>74</v>
      </c>
      <c r="B135" s="26" t="s">
        <v>75</v>
      </c>
      <c r="C135" s="11" t="s">
        <v>352</v>
      </c>
      <c r="D135" s="11" t="s">
        <v>353</v>
      </c>
      <c r="E135" s="11" t="s">
        <v>298</v>
      </c>
      <c r="F135" s="13">
        <v>0</v>
      </c>
      <c r="G135" s="13">
        <v>0</v>
      </c>
      <c r="H135" s="13">
        <v>0</v>
      </c>
      <c r="I135" s="13">
        <v>0</v>
      </c>
      <c r="J135" s="12">
        <v>2197.91</v>
      </c>
      <c r="K135" s="14">
        <f t="shared" si="2"/>
        <v>2197.91</v>
      </c>
      <c r="L135" s="12"/>
      <c r="M135" s="15">
        <f t="shared" si="3"/>
        <v>2197.91</v>
      </c>
      <c r="N135" s="11" t="s">
        <v>283</v>
      </c>
    </row>
    <row r="136" spans="1:14" x14ac:dyDescent="0.25">
      <c r="A136" s="11" t="s">
        <v>148</v>
      </c>
      <c r="B136" s="26" t="s">
        <v>149</v>
      </c>
      <c r="C136" s="11"/>
      <c r="D136" s="11"/>
      <c r="E136" s="11"/>
      <c r="F136" s="12">
        <v>10750.93</v>
      </c>
      <c r="G136" s="13">
        <v>336.9</v>
      </c>
      <c r="H136" s="13">
        <v>0</v>
      </c>
      <c r="I136" s="13">
        <v>0</v>
      </c>
      <c r="J136" s="13">
        <v>-13</v>
      </c>
      <c r="K136" s="14">
        <f t="shared" si="2"/>
        <v>11074.83</v>
      </c>
      <c r="L136" s="13"/>
      <c r="M136" s="15">
        <f t="shared" si="3"/>
        <v>11074.83</v>
      </c>
      <c r="N136" s="11" t="s">
        <v>287</v>
      </c>
    </row>
    <row r="137" spans="1:14" x14ac:dyDescent="0.25">
      <c r="A137" s="3" t="s">
        <v>158</v>
      </c>
      <c r="B137" s="31" t="s">
        <v>149</v>
      </c>
      <c r="C137" s="3" t="s">
        <v>354</v>
      </c>
      <c r="D137" s="3" t="s">
        <v>355</v>
      </c>
      <c r="E137" s="3" t="s">
        <v>298</v>
      </c>
      <c r="F137" s="6">
        <v>3003.28</v>
      </c>
      <c r="G137" s="4">
        <v>0</v>
      </c>
      <c r="H137" s="4">
        <v>-6.36</v>
      </c>
      <c r="I137" s="4">
        <v>0</v>
      </c>
      <c r="J137" s="4">
        <v>0</v>
      </c>
      <c r="K137" s="5">
        <f t="shared" si="2"/>
        <v>2996.92</v>
      </c>
      <c r="L137" s="4"/>
      <c r="M137" s="10">
        <f t="shared" si="3"/>
        <v>2996.92</v>
      </c>
      <c r="N137" s="3" t="s">
        <v>287</v>
      </c>
    </row>
    <row r="138" spans="1:14" x14ac:dyDescent="0.25">
      <c r="A138" s="3" t="s">
        <v>76</v>
      </c>
      <c r="B138" s="31" t="s">
        <v>77</v>
      </c>
      <c r="C138" s="3"/>
      <c r="D138" s="3"/>
      <c r="E138" s="3"/>
      <c r="F138" s="6">
        <v>7915.21</v>
      </c>
      <c r="G138" s="4">
        <v>0</v>
      </c>
      <c r="H138" s="4">
        <v>0</v>
      </c>
      <c r="I138" s="4">
        <v>0</v>
      </c>
      <c r="J138" s="4">
        <v>0</v>
      </c>
      <c r="K138" s="5">
        <f t="shared" si="2"/>
        <v>7915.21</v>
      </c>
      <c r="L138" s="4"/>
      <c r="M138" s="10">
        <f t="shared" si="3"/>
        <v>7915.21</v>
      </c>
      <c r="N138" s="3" t="s">
        <v>283</v>
      </c>
    </row>
    <row r="139" spans="1:14" x14ac:dyDescent="0.25">
      <c r="A139" s="3" t="s">
        <v>183</v>
      </c>
      <c r="B139" s="31" t="s">
        <v>184</v>
      </c>
      <c r="C139" s="3"/>
      <c r="D139" s="3"/>
      <c r="E139" s="3"/>
      <c r="F139" s="6">
        <v>9929.16</v>
      </c>
      <c r="G139" s="4">
        <v>0</v>
      </c>
      <c r="H139" s="4">
        <v>0</v>
      </c>
      <c r="I139" s="4">
        <v>0</v>
      </c>
      <c r="J139" s="4">
        <v>0</v>
      </c>
      <c r="K139" s="5">
        <f t="shared" si="2"/>
        <v>9929.16</v>
      </c>
      <c r="L139" s="4"/>
      <c r="M139" s="10">
        <f t="shared" si="3"/>
        <v>9929.16</v>
      </c>
      <c r="N139" s="3" t="s">
        <v>283</v>
      </c>
    </row>
    <row r="140" spans="1:14" x14ac:dyDescent="0.25">
      <c r="A140" s="11" t="s">
        <v>229</v>
      </c>
      <c r="B140" s="26" t="s">
        <v>230</v>
      </c>
      <c r="C140" s="11"/>
      <c r="D140" s="11"/>
      <c r="E140" s="11"/>
      <c r="F140" s="13">
        <v>0</v>
      </c>
      <c r="G140" s="13">
        <v>641.04</v>
      </c>
      <c r="H140" s="13">
        <v>0</v>
      </c>
      <c r="I140" s="13">
        <v>0</v>
      </c>
      <c r="J140" s="13">
        <v>0</v>
      </c>
      <c r="K140" s="14">
        <f t="shared" si="2"/>
        <v>641.04</v>
      </c>
      <c r="L140" s="13"/>
      <c r="M140" s="15">
        <f t="shared" si="3"/>
        <v>641.04</v>
      </c>
      <c r="N140" s="11" t="s">
        <v>285</v>
      </c>
    </row>
    <row r="141" spans="1:14" x14ac:dyDescent="0.25">
      <c r="A141" s="3" t="s">
        <v>144</v>
      </c>
      <c r="B141" s="31" t="s">
        <v>145</v>
      </c>
      <c r="C141" s="3"/>
      <c r="D141" s="3"/>
      <c r="E141" s="3"/>
      <c r="F141" s="6">
        <v>2914.26</v>
      </c>
      <c r="G141" s="4">
        <v>0</v>
      </c>
      <c r="H141" s="4">
        <v>0</v>
      </c>
      <c r="I141" s="4">
        <v>0</v>
      </c>
      <c r="J141" s="4">
        <v>0</v>
      </c>
      <c r="K141" s="5">
        <f t="shared" si="2"/>
        <v>2914.26</v>
      </c>
      <c r="L141" s="4"/>
      <c r="M141" s="10">
        <f t="shared" si="3"/>
        <v>2914.26</v>
      </c>
      <c r="N141" s="3" t="s">
        <v>283</v>
      </c>
    </row>
    <row r="142" spans="1:14" x14ac:dyDescent="0.25">
      <c r="A142" s="3" t="s">
        <v>118</v>
      </c>
      <c r="B142" s="31" t="s">
        <v>119</v>
      </c>
      <c r="C142" s="3" t="s">
        <v>352</v>
      </c>
      <c r="D142" s="3" t="s">
        <v>356</v>
      </c>
      <c r="E142" s="3" t="s">
        <v>298</v>
      </c>
      <c r="F142" s="6">
        <v>12098.08</v>
      </c>
      <c r="G142" s="4">
        <v>0</v>
      </c>
      <c r="H142" s="4">
        <v>0</v>
      </c>
      <c r="I142" s="4">
        <v>0</v>
      </c>
      <c r="J142" s="4">
        <v>0</v>
      </c>
      <c r="K142" s="5">
        <f t="shared" si="2"/>
        <v>12098.08</v>
      </c>
      <c r="L142" s="4"/>
      <c r="M142" s="10">
        <f t="shared" si="3"/>
        <v>12098.08</v>
      </c>
      <c r="N142" s="3" t="s">
        <v>283</v>
      </c>
    </row>
    <row r="143" spans="1:14" x14ac:dyDescent="0.25">
      <c r="A143" s="3" t="s">
        <v>78</v>
      </c>
      <c r="B143" s="31" t="s">
        <v>79</v>
      </c>
      <c r="C143" s="3"/>
      <c r="D143" s="3"/>
      <c r="E143" s="3"/>
      <c r="F143" s="6">
        <v>11015.81</v>
      </c>
      <c r="G143" s="4">
        <v>0</v>
      </c>
      <c r="H143" s="4">
        <v>0</v>
      </c>
      <c r="I143" s="4">
        <v>0</v>
      </c>
      <c r="J143" s="4">
        <v>0</v>
      </c>
      <c r="K143" s="5">
        <f t="shared" si="2"/>
        <v>11015.81</v>
      </c>
      <c r="L143" s="4"/>
      <c r="M143" s="10">
        <f t="shared" si="3"/>
        <v>11015.81</v>
      </c>
      <c r="N143" s="3" t="s">
        <v>283</v>
      </c>
    </row>
    <row r="144" spans="1:14" x14ac:dyDescent="0.25">
      <c r="A144" s="3" t="s">
        <v>80</v>
      </c>
      <c r="B144" s="31" t="s">
        <v>81</v>
      </c>
      <c r="C144" s="3"/>
      <c r="D144" s="3"/>
      <c r="E144" s="3"/>
      <c r="F144" s="6">
        <v>81244.72</v>
      </c>
      <c r="G144" s="4">
        <v>0</v>
      </c>
      <c r="H144" s="4">
        <v>0</v>
      </c>
      <c r="I144" s="4">
        <v>0</v>
      </c>
      <c r="J144" s="4">
        <v>0</v>
      </c>
      <c r="K144" s="5">
        <f t="shared" si="2"/>
        <v>81244.72</v>
      </c>
      <c r="L144" s="4"/>
      <c r="M144" s="10">
        <f t="shared" si="3"/>
        <v>81244.72</v>
      </c>
      <c r="N144" s="3" t="s">
        <v>285</v>
      </c>
    </row>
    <row r="145" spans="1:14" x14ac:dyDescent="0.25">
      <c r="A145" s="3" t="s">
        <v>159</v>
      </c>
      <c r="B145" s="31" t="s">
        <v>160</v>
      </c>
      <c r="C145" s="3" t="s">
        <v>350</v>
      </c>
      <c r="D145" s="3" t="s">
        <v>357</v>
      </c>
      <c r="E145" s="3" t="s">
        <v>298</v>
      </c>
      <c r="F145" s="6">
        <v>119757</v>
      </c>
      <c r="G145" s="4">
        <v>-522</v>
      </c>
      <c r="H145" s="4">
        <v>0</v>
      </c>
      <c r="I145" s="4">
        <v>0</v>
      </c>
      <c r="J145" s="4">
        <v>0</v>
      </c>
      <c r="K145" s="5">
        <f t="shared" si="2"/>
        <v>119235</v>
      </c>
      <c r="L145" s="4"/>
      <c r="M145" s="10">
        <f t="shared" si="3"/>
        <v>119235</v>
      </c>
      <c r="N145" s="3" t="s">
        <v>283</v>
      </c>
    </row>
    <row r="146" spans="1:14" x14ac:dyDescent="0.25">
      <c r="A146" s="3" t="s">
        <v>179</v>
      </c>
      <c r="B146" s="31" t="s">
        <v>180</v>
      </c>
      <c r="C146" s="3"/>
      <c r="D146" s="3"/>
      <c r="E146" s="3"/>
      <c r="F146" s="6">
        <v>5010.8599999999997</v>
      </c>
      <c r="G146" s="4">
        <v>0</v>
      </c>
      <c r="H146" s="4">
        <v>0</v>
      </c>
      <c r="I146" s="4">
        <v>0</v>
      </c>
      <c r="J146" s="4">
        <v>0</v>
      </c>
      <c r="K146" s="5">
        <f t="shared" si="2"/>
        <v>5010.8599999999997</v>
      </c>
      <c r="L146" s="4"/>
      <c r="M146" s="10">
        <f t="shared" si="3"/>
        <v>5010.8599999999997</v>
      </c>
      <c r="N146" s="3" t="s">
        <v>283</v>
      </c>
    </row>
    <row r="147" spans="1:14" x14ac:dyDescent="0.25">
      <c r="A147" s="3" t="s">
        <v>120</v>
      </c>
      <c r="B147" s="31" t="s">
        <v>121</v>
      </c>
      <c r="C147" s="3" t="s">
        <v>358</v>
      </c>
      <c r="D147" s="3" t="s">
        <v>359</v>
      </c>
      <c r="E147" s="3" t="s">
        <v>330</v>
      </c>
      <c r="F147" s="6">
        <v>54103.32</v>
      </c>
      <c r="G147" s="6">
        <v>47507.44</v>
      </c>
      <c r="H147" s="4">
        <v>0</v>
      </c>
      <c r="I147" s="4">
        <v>0</v>
      </c>
      <c r="J147" s="4">
        <v>0</v>
      </c>
      <c r="K147" s="5">
        <f t="shared" si="2"/>
        <v>101610.76000000001</v>
      </c>
      <c r="L147" s="4"/>
      <c r="M147" s="10">
        <f t="shared" si="3"/>
        <v>101610.76000000001</v>
      </c>
      <c r="N147" s="3" t="s">
        <v>283</v>
      </c>
    </row>
    <row r="148" spans="1:14" x14ac:dyDescent="0.25">
      <c r="A148" s="3" t="s">
        <v>94</v>
      </c>
      <c r="B148" s="31" t="s">
        <v>95</v>
      </c>
      <c r="C148" s="3"/>
      <c r="D148" s="3"/>
      <c r="E148" s="3"/>
      <c r="F148" s="6">
        <v>1777.58</v>
      </c>
      <c r="G148" s="4">
        <v>0</v>
      </c>
      <c r="H148" s="4">
        <v>0</v>
      </c>
      <c r="I148" s="4">
        <v>0</v>
      </c>
      <c r="J148" s="4">
        <v>0</v>
      </c>
      <c r="K148" s="5">
        <f t="shared" si="2"/>
        <v>1777.58</v>
      </c>
      <c r="L148" s="4"/>
      <c r="M148" s="10">
        <f t="shared" si="3"/>
        <v>1777.58</v>
      </c>
      <c r="N148" s="3" t="s">
        <v>283</v>
      </c>
    </row>
    <row r="149" spans="1:14" x14ac:dyDescent="0.25">
      <c r="A149" s="3" t="s">
        <v>64</v>
      </c>
      <c r="B149" s="31" t="s">
        <v>65</v>
      </c>
      <c r="C149" s="3"/>
      <c r="D149" s="3"/>
      <c r="E149" s="3"/>
      <c r="F149" s="6">
        <v>14282.88</v>
      </c>
      <c r="G149" s="4">
        <v>-66.48</v>
      </c>
      <c r="H149" s="4">
        <v>0</v>
      </c>
      <c r="I149" s="4">
        <v>0</v>
      </c>
      <c r="J149" s="4">
        <v>0</v>
      </c>
      <c r="K149" s="5">
        <f t="shared" si="2"/>
        <v>14216.4</v>
      </c>
      <c r="L149" s="4"/>
      <c r="M149" s="10">
        <f t="shared" si="3"/>
        <v>14216.4</v>
      </c>
      <c r="N149" s="3" t="s">
        <v>283</v>
      </c>
    </row>
    <row r="150" spans="1:14" x14ac:dyDescent="0.25">
      <c r="A150" s="11" t="s">
        <v>114</v>
      </c>
      <c r="B150" s="26" t="s">
        <v>115</v>
      </c>
      <c r="C150" s="11" t="s">
        <v>360</v>
      </c>
      <c r="D150" s="11" t="s">
        <v>361</v>
      </c>
      <c r="E150" s="11" t="s">
        <v>298</v>
      </c>
      <c r="F150" s="13">
        <v>0</v>
      </c>
      <c r="G150" s="12">
        <v>4653.66</v>
      </c>
      <c r="H150" s="13">
        <v>0</v>
      </c>
      <c r="I150" s="13">
        <v>0</v>
      </c>
      <c r="J150" s="13">
        <v>0</v>
      </c>
      <c r="K150" s="14">
        <f t="shared" si="2"/>
        <v>4653.66</v>
      </c>
      <c r="L150" s="13"/>
      <c r="M150" s="15">
        <f t="shared" si="3"/>
        <v>4653.66</v>
      </c>
      <c r="N150" s="11" t="s">
        <v>283</v>
      </c>
    </row>
    <row r="151" spans="1:14" x14ac:dyDescent="0.25">
      <c r="A151" s="16" t="s">
        <v>88</v>
      </c>
      <c r="B151" s="21" t="s">
        <v>89</v>
      </c>
      <c r="C151" s="16"/>
      <c r="D151" s="16"/>
      <c r="E151" s="16"/>
      <c r="F151" s="17">
        <v>89571.9</v>
      </c>
      <c r="G151" s="17">
        <v>0</v>
      </c>
      <c r="H151" s="18">
        <v>0</v>
      </c>
      <c r="I151" s="18">
        <v>0</v>
      </c>
      <c r="J151" s="18">
        <v>0</v>
      </c>
      <c r="K151" s="19">
        <f t="shared" si="2"/>
        <v>89571.9</v>
      </c>
      <c r="L151" s="18"/>
      <c r="M151" s="20">
        <f t="shared" si="3"/>
        <v>89571.9</v>
      </c>
      <c r="N151" s="16" t="s">
        <v>283</v>
      </c>
    </row>
    <row r="152" spans="1:14" x14ac:dyDescent="0.25">
      <c r="A152" s="3" t="s">
        <v>215</v>
      </c>
      <c r="B152" s="31" t="s">
        <v>216</v>
      </c>
      <c r="C152" s="3"/>
      <c r="D152" s="3"/>
      <c r="E152" s="3"/>
      <c r="F152" s="6">
        <v>6089.93</v>
      </c>
      <c r="G152" s="4">
        <v>0</v>
      </c>
      <c r="H152" s="4">
        <v>0</v>
      </c>
      <c r="I152" s="4">
        <v>0</v>
      </c>
      <c r="J152" s="4">
        <v>0</v>
      </c>
      <c r="K152" s="5">
        <f t="shared" si="2"/>
        <v>6089.93</v>
      </c>
      <c r="L152" s="4"/>
      <c r="M152" s="10">
        <f t="shared" si="3"/>
        <v>6089.93</v>
      </c>
      <c r="N152" s="3" t="s">
        <v>283</v>
      </c>
    </row>
    <row r="153" spans="1:14" x14ac:dyDescent="0.25">
      <c r="A153" s="3" t="s">
        <v>84</v>
      </c>
      <c r="B153" s="31" t="s">
        <v>85</v>
      </c>
      <c r="C153" s="3"/>
      <c r="D153" s="3"/>
      <c r="E153" s="3"/>
      <c r="F153" s="6">
        <v>2499.42</v>
      </c>
      <c r="G153" s="4">
        <v>0</v>
      </c>
      <c r="H153" s="4">
        <v>0</v>
      </c>
      <c r="I153" s="4">
        <v>0</v>
      </c>
      <c r="J153" s="4">
        <v>0</v>
      </c>
      <c r="K153" s="5">
        <f t="shared" si="2"/>
        <v>2499.42</v>
      </c>
      <c r="L153" s="4"/>
      <c r="M153" s="10">
        <f t="shared" si="3"/>
        <v>2499.42</v>
      </c>
      <c r="N153" s="3" t="s">
        <v>283</v>
      </c>
    </row>
    <row r="154" spans="1:14" x14ac:dyDescent="0.25">
      <c r="A154" s="3" t="s">
        <v>134</v>
      </c>
      <c r="B154" s="31" t="s">
        <v>135</v>
      </c>
      <c r="C154" s="3" t="s">
        <v>344</v>
      </c>
      <c r="D154" s="3" t="s">
        <v>362</v>
      </c>
      <c r="E154" s="3" t="s">
        <v>298</v>
      </c>
      <c r="F154" s="6">
        <v>52604.76</v>
      </c>
      <c r="G154" s="4">
        <v>0</v>
      </c>
      <c r="H154" s="4">
        <v>0</v>
      </c>
      <c r="I154" s="4">
        <v>0</v>
      </c>
      <c r="J154" s="4">
        <v>0</v>
      </c>
      <c r="K154" s="5">
        <f t="shared" si="2"/>
        <v>52604.76</v>
      </c>
      <c r="L154" s="4"/>
      <c r="M154" s="10">
        <f t="shared" si="3"/>
        <v>52604.76</v>
      </c>
      <c r="N154" s="3" t="s">
        <v>283</v>
      </c>
    </row>
    <row r="155" spans="1:14" x14ac:dyDescent="0.25">
      <c r="A155" s="3" t="s">
        <v>86</v>
      </c>
      <c r="B155" s="31" t="s">
        <v>87</v>
      </c>
      <c r="C155" s="3"/>
      <c r="D155" s="3"/>
      <c r="E155" s="3"/>
      <c r="F155" s="6">
        <v>18093.32</v>
      </c>
      <c r="G155" s="4">
        <v>-60</v>
      </c>
      <c r="H155" s="4">
        <v>-20.86</v>
      </c>
      <c r="I155" s="4">
        <v>-327.24</v>
      </c>
      <c r="J155" s="6">
        <v>-1900.6</v>
      </c>
      <c r="K155" s="5">
        <f t="shared" si="2"/>
        <v>15784.619999999997</v>
      </c>
      <c r="L155" s="6"/>
      <c r="M155" s="10">
        <f t="shared" si="3"/>
        <v>15784.619999999997</v>
      </c>
      <c r="N155" s="3" t="s">
        <v>288</v>
      </c>
    </row>
    <row r="156" spans="1:14" x14ac:dyDescent="0.25">
      <c r="A156" s="3" t="s">
        <v>82</v>
      </c>
      <c r="B156" s="31" t="s">
        <v>83</v>
      </c>
      <c r="C156" s="3" t="s">
        <v>363</v>
      </c>
      <c r="D156" s="3" t="s">
        <v>364</v>
      </c>
      <c r="E156" s="3" t="s">
        <v>365</v>
      </c>
      <c r="F156" s="6">
        <f>74432.76-552.36</f>
        <v>73880.399999999994</v>
      </c>
      <c r="G156" s="4">
        <v>-862.68</v>
      </c>
      <c r="H156" s="4">
        <v>-145.44</v>
      </c>
      <c r="I156" s="4">
        <v>-932.82</v>
      </c>
      <c r="J156" s="4">
        <v>0</v>
      </c>
      <c r="K156" s="5">
        <f t="shared" si="2"/>
        <v>71939.459999999992</v>
      </c>
      <c r="L156" s="4"/>
      <c r="M156" s="10">
        <f t="shared" si="3"/>
        <v>71939.459999999992</v>
      </c>
      <c r="N156" s="3" t="s">
        <v>283</v>
      </c>
    </row>
    <row r="157" spans="1:14" x14ac:dyDescent="0.25">
      <c r="A157" s="3" t="s">
        <v>156</v>
      </c>
      <c r="B157" s="31" t="s">
        <v>157</v>
      </c>
      <c r="C157" s="3" t="s">
        <v>366</v>
      </c>
      <c r="D157" s="3" t="s">
        <v>367</v>
      </c>
      <c r="E157" s="3" t="s">
        <v>298</v>
      </c>
      <c r="F157" s="6">
        <v>74310.48</v>
      </c>
      <c r="G157" s="4">
        <v>0</v>
      </c>
      <c r="H157" s="4">
        <v>0</v>
      </c>
      <c r="I157" s="4">
        <v>0</v>
      </c>
      <c r="J157" s="4">
        <v>0</v>
      </c>
      <c r="K157" s="5">
        <f t="shared" si="2"/>
        <v>74310.48</v>
      </c>
      <c r="L157" s="4"/>
      <c r="M157" s="10">
        <f t="shared" si="3"/>
        <v>74310.48</v>
      </c>
      <c r="N157" s="3" t="s">
        <v>283</v>
      </c>
    </row>
    <row r="158" spans="1:14" x14ac:dyDescent="0.25">
      <c r="A158" s="3" t="s">
        <v>209</v>
      </c>
      <c r="B158" s="31" t="s">
        <v>210</v>
      </c>
      <c r="C158" s="3"/>
      <c r="D158" s="3"/>
      <c r="E158" s="3"/>
      <c r="F158" s="6">
        <v>52748.4</v>
      </c>
      <c r="G158" s="4">
        <v>0</v>
      </c>
      <c r="H158" s="4">
        <v>0</v>
      </c>
      <c r="I158" s="4">
        <v>0</v>
      </c>
      <c r="J158" s="4">
        <v>0</v>
      </c>
      <c r="K158" s="5">
        <f t="shared" si="2"/>
        <v>52748.4</v>
      </c>
      <c r="L158" s="4"/>
      <c r="M158" s="10">
        <f t="shared" si="3"/>
        <v>52748.4</v>
      </c>
      <c r="N158" s="3" t="s">
        <v>291</v>
      </c>
    </row>
    <row r="159" spans="1:14" x14ac:dyDescent="0.25">
      <c r="A159" s="3" t="s">
        <v>92</v>
      </c>
      <c r="B159" s="31" t="s">
        <v>93</v>
      </c>
      <c r="C159" s="3" t="s">
        <v>368</v>
      </c>
      <c r="D159" s="3" t="s">
        <v>294</v>
      </c>
      <c r="E159" s="3" t="s">
        <v>298</v>
      </c>
      <c r="F159" s="6">
        <v>82963.5</v>
      </c>
      <c r="G159" s="4">
        <v>0</v>
      </c>
      <c r="H159" s="4">
        <v>0</v>
      </c>
      <c r="I159" s="4">
        <v>0</v>
      </c>
      <c r="J159" s="4">
        <v>0</v>
      </c>
      <c r="K159" s="5">
        <f t="shared" si="2"/>
        <v>82963.5</v>
      </c>
      <c r="L159" s="4"/>
      <c r="M159" s="10">
        <f t="shared" si="3"/>
        <v>82963.5</v>
      </c>
      <c r="N159" s="3" t="s">
        <v>283</v>
      </c>
    </row>
    <row r="160" spans="1:14" x14ac:dyDescent="0.25">
      <c r="A160" s="11" t="s">
        <v>223</v>
      </c>
      <c r="B160" s="26" t="s">
        <v>224</v>
      </c>
      <c r="C160" s="11"/>
      <c r="D160" s="11"/>
      <c r="E160" s="11"/>
      <c r="F160" s="12">
        <v>8976.6299999999992</v>
      </c>
      <c r="G160" s="12">
        <v>5269.44</v>
      </c>
      <c r="H160" s="13">
        <v>0</v>
      </c>
      <c r="I160" s="13">
        <v>-27.64</v>
      </c>
      <c r="J160" s="13">
        <v>-4</v>
      </c>
      <c r="K160" s="14">
        <f t="shared" si="2"/>
        <v>14214.43</v>
      </c>
      <c r="L160" s="13"/>
      <c r="M160" s="15">
        <f t="shared" si="3"/>
        <v>14214.43</v>
      </c>
      <c r="N160" s="11" t="s">
        <v>285</v>
      </c>
    </row>
    <row r="161" spans="1:14" x14ac:dyDescent="0.25">
      <c r="A161" s="3" t="s">
        <v>181</v>
      </c>
      <c r="B161" s="31" t="s">
        <v>182</v>
      </c>
      <c r="C161" s="3"/>
      <c r="D161" s="3"/>
      <c r="E161" s="3"/>
      <c r="F161" s="6">
        <v>13992.39</v>
      </c>
      <c r="G161" s="4">
        <v>-2.04</v>
      </c>
      <c r="H161" s="4">
        <v>-0.84</v>
      </c>
      <c r="I161" s="4">
        <v>0</v>
      </c>
      <c r="J161" s="4">
        <v>0</v>
      </c>
      <c r="K161" s="5">
        <f t="shared" si="2"/>
        <v>13989.509999999998</v>
      </c>
      <c r="L161" s="4"/>
      <c r="M161" s="10">
        <f t="shared" si="3"/>
        <v>13989.509999999998</v>
      </c>
      <c r="N161" s="3" t="s">
        <v>283</v>
      </c>
    </row>
    <row r="162" spans="1:14" x14ac:dyDescent="0.25">
      <c r="A162" s="3" t="s">
        <v>62</v>
      </c>
      <c r="B162" s="31" t="s">
        <v>63</v>
      </c>
      <c r="C162" s="3"/>
      <c r="D162" s="3"/>
      <c r="E162" s="3"/>
      <c r="F162" s="6">
        <v>1769.24</v>
      </c>
      <c r="G162" s="4">
        <v>0</v>
      </c>
      <c r="H162" s="4">
        <v>0</v>
      </c>
      <c r="I162" s="4">
        <v>0</v>
      </c>
      <c r="J162" s="4">
        <v>0</v>
      </c>
      <c r="K162" s="5">
        <f t="shared" si="2"/>
        <v>1769.24</v>
      </c>
      <c r="L162" s="4"/>
      <c r="M162" s="10">
        <f t="shared" si="3"/>
        <v>1769.24</v>
      </c>
      <c r="N162" s="3" t="s">
        <v>283</v>
      </c>
    </row>
    <row r="163" spans="1:14" x14ac:dyDescent="0.25">
      <c r="A163" s="3" t="s">
        <v>14</v>
      </c>
      <c r="B163" s="31" t="s">
        <v>15</v>
      </c>
      <c r="C163" s="3"/>
      <c r="D163" s="3"/>
      <c r="E163" s="3"/>
      <c r="F163" s="6">
        <v>6374.89</v>
      </c>
      <c r="G163" s="4">
        <v>0</v>
      </c>
      <c r="H163" s="4">
        <v>-6.25</v>
      </c>
      <c r="I163" s="4">
        <v>0</v>
      </c>
      <c r="J163" s="4">
        <v>0</v>
      </c>
      <c r="K163" s="5">
        <f t="shared" si="2"/>
        <v>6368.64</v>
      </c>
      <c r="L163" s="4"/>
      <c r="M163" s="10">
        <f t="shared" si="3"/>
        <v>6368.64</v>
      </c>
      <c r="N163" s="3" t="s">
        <v>283</v>
      </c>
    </row>
    <row r="164" spans="1:14" x14ac:dyDescent="0.25">
      <c r="A164" s="3" t="s">
        <v>36</v>
      </c>
      <c r="B164" s="31" t="s">
        <v>37</v>
      </c>
      <c r="C164" s="3"/>
      <c r="D164" s="3"/>
      <c r="E164" s="3"/>
      <c r="F164" s="4">
        <v>600</v>
      </c>
      <c r="G164" s="4">
        <v>0</v>
      </c>
      <c r="H164" s="4">
        <v>0</v>
      </c>
      <c r="I164" s="4">
        <v>0</v>
      </c>
      <c r="J164" s="4">
        <v>-6.36</v>
      </c>
      <c r="K164" s="5">
        <f t="shared" si="2"/>
        <v>593.64</v>
      </c>
      <c r="L164" s="4"/>
      <c r="M164" s="10">
        <f t="shared" si="3"/>
        <v>593.64</v>
      </c>
      <c r="N164" s="3" t="s">
        <v>283</v>
      </c>
    </row>
    <row r="165" spans="1:14" x14ac:dyDescent="0.25">
      <c r="A165" s="3" t="s">
        <v>235</v>
      </c>
      <c r="B165" s="31" t="s">
        <v>236</v>
      </c>
      <c r="C165" s="3" t="s">
        <v>369</v>
      </c>
      <c r="D165" s="3" t="s">
        <v>370</v>
      </c>
      <c r="E165" s="3" t="s">
        <v>298</v>
      </c>
      <c r="F165" s="6">
        <v>28616.78</v>
      </c>
      <c r="G165" s="4">
        <v>0</v>
      </c>
      <c r="H165" s="4">
        <v>0</v>
      </c>
      <c r="I165" s="4">
        <v>0</v>
      </c>
      <c r="J165" s="4">
        <v>0</v>
      </c>
      <c r="K165" s="5">
        <f t="shared" ref="K165:K172" si="4">F165+G165+H165+I165+J165</f>
        <v>28616.78</v>
      </c>
      <c r="L165" s="4"/>
      <c r="M165" s="10">
        <f t="shared" ref="M165:M172" si="5">K165-L165</f>
        <v>28616.78</v>
      </c>
      <c r="N165" s="3" t="s">
        <v>292</v>
      </c>
    </row>
    <row r="166" spans="1:14" x14ac:dyDescent="0.25">
      <c r="A166" s="3" t="s">
        <v>126</v>
      </c>
      <c r="B166" s="31" t="s">
        <v>127</v>
      </c>
      <c r="C166" s="3"/>
      <c r="D166" s="3"/>
      <c r="E166" s="3"/>
      <c r="F166" s="6">
        <v>6473.72</v>
      </c>
      <c r="G166" s="4">
        <v>0</v>
      </c>
      <c r="H166" s="4">
        <v>0</v>
      </c>
      <c r="I166" s="4">
        <v>0</v>
      </c>
      <c r="J166" s="4">
        <v>0</v>
      </c>
      <c r="K166" s="5">
        <f t="shared" si="4"/>
        <v>6473.72</v>
      </c>
      <c r="L166" s="4"/>
      <c r="M166" s="10">
        <f t="shared" si="5"/>
        <v>6473.72</v>
      </c>
      <c r="N166" s="3" t="s">
        <v>283</v>
      </c>
    </row>
    <row r="167" spans="1:14" x14ac:dyDescent="0.25">
      <c r="A167" s="3" t="s">
        <v>175</v>
      </c>
      <c r="B167" s="31" t="s">
        <v>176</v>
      </c>
      <c r="C167" s="3"/>
      <c r="D167" s="3"/>
      <c r="E167" s="3"/>
      <c r="F167" s="6">
        <f>159242.65-98887.44</f>
        <v>60355.209999999992</v>
      </c>
      <c r="G167" s="4">
        <v>-17.28</v>
      </c>
      <c r="H167" s="4">
        <v>0</v>
      </c>
      <c r="I167" s="4">
        <v>0</v>
      </c>
      <c r="J167" s="4">
        <v>0</v>
      </c>
      <c r="K167" s="5">
        <f t="shared" si="4"/>
        <v>60337.929999999993</v>
      </c>
      <c r="L167" s="4"/>
      <c r="M167" s="10">
        <f t="shared" si="5"/>
        <v>60337.929999999993</v>
      </c>
      <c r="N167" s="3" t="s">
        <v>283</v>
      </c>
    </row>
    <row r="168" spans="1:14" x14ac:dyDescent="0.25">
      <c r="A168" s="11" t="s">
        <v>142</v>
      </c>
      <c r="B168" s="26" t="s">
        <v>143</v>
      </c>
      <c r="C168" s="11"/>
      <c r="D168" s="11"/>
      <c r="E168" s="11"/>
      <c r="F168" s="12">
        <v>4679.8599999999997</v>
      </c>
      <c r="G168" s="12">
        <v>7597.68</v>
      </c>
      <c r="H168" s="13">
        <v>0</v>
      </c>
      <c r="I168" s="13">
        <v>0</v>
      </c>
      <c r="J168" s="13">
        <v>0</v>
      </c>
      <c r="K168" s="14">
        <f t="shared" si="4"/>
        <v>12277.54</v>
      </c>
      <c r="L168" s="13"/>
      <c r="M168" s="15">
        <f t="shared" si="5"/>
        <v>12277.54</v>
      </c>
      <c r="N168" s="11" t="s">
        <v>283</v>
      </c>
    </row>
    <row r="169" spans="1:14" x14ac:dyDescent="0.25">
      <c r="A169" s="3" t="s">
        <v>116</v>
      </c>
      <c r="B169" s="31" t="s">
        <v>117</v>
      </c>
      <c r="C169" s="3"/>
      <c r="D169" s="3"/>
      <c r="E169" s="3"/>
      <c r="F169" s="6">
        <v>6674.27</v>
      </c>
      <c r="G169" s="4">
        <v>0</v>
      </c>
      <c r="H169" s="4">
        <v>0</v>
      </c>
      <c r="I169" s="4">
        <v>0</v>
      </c>
      <c r="J169" s="4">
        <v>0</v>
      </c>
      <c r="K169" s="5">
        <f t="shared" si="4"/>
        <v>6674.27</v>
      </c>
      <c r="L169" s="4"/>
      <c r="M169" s="10">
        <f t="shared" si="5"/>
        <v>6674.27</v>
      </c>
      <c r="N169" s="3" t="s">
        <v>283</v>
      </c>
    </row>
    <row r="170" spans="1:14" x14ac:dyDescent="0.25">
      <c r="A170" s="11" t="s">
        <v>233</v>
      </c>
      <c r="B170" s="26" t="s">
        <v>234</v>
      </c>
      <c r="C170" s="11" t="s">
        <v>371</v>
      </c>
      <c r="D170" s="11" t="s">
        <v>372</v>
      </c>
      <c r="E170" s="11" t="s">
        <v>295</v>
      </c>
      <c r="F170" s="13">
        <v>0</v>
      </c>
      <c r="G170" s="13">
        <v>0</v>
      </c>
      <c r="H170" s="13">
        <v>0</v>
      </c>
      <c r="I170" s="13">
        <v>0</v>
      </c>
      <c r="J170" s="12">
        <v>36203.199999999997</v>
      </c>
      <c r="K170" s="14">
        <f t="shared" si="4"/>
        <v>36203.199999999997</v>
      </c>
      <c r="L170" s="12"/>
      <c r="M170" s="15">
        <f t="shared" si="5"/>
        <v>36203.199999999997</v>
      </c>
      <c r="N170" s="11" t="s">
        <v>284</v>
      </c>
    </row>
    <row r="171" spans="1:14" x14ac:dyDescent="0.25">
      <c r="A171" s="3" t="s">
        <v>104</v>
      </c>
      <c r="B171" s="31" t="s">
        <v>105</v>
      </c>
      <c r="C171" s="3" t="s">
        <v>373</v>
      </c>
      <c r="D171" s="3" t="s">
        <v>374</v>
      </c>
      <c r="E171" s="3">
        <v>0</v>
      </c>
      <c r="F171" s="6">
        <v>34723.800000000003</v>
      </c>
      <c r="G171" s="4">
        <v>0</v>
      </c>
      <c r="H171" s="4">
        <v>0</v>
      </c>
      <c r="I171" s="4">
        <v>0</v>
      </c>
      <c r="J171" s="4">
        <v>-638.4</v>
      </c>
      <c r="K171" s="5">
        <f t="shared" si="4"/>
        <v>34085.4</v>
      </c>
      <c r="L171" s="4"/>
      <c r="M171" s="10">
        <f t="shared" si="5"/>
        <v>34085.4</v>
      </c>
      <c r="N171" s="3" t="s">
        <v>283</v>
      </c>
    </row>
    <row r="172" spans="1:14" x14ac:dyDescent="0.25">
      <c r="A172" s="3" t="s">
        <v>106</v>
      </c>
      <c r="B172" s="31" t="s">
        <v>107</v>
      </c>
      <c r="C172" s="3"/>
      <c r="D172" s="3"/>
      <c r="E172" s="3"/>
      <c r="F172" s="6">
        <v>2831.58</v>
      </c>
      <c r="G172" s="4">
        <v>0</v>
      </c>
      <c r="H172" s="4">
        <v>-26.4</v>
      </c>
      <c r="I172" s="4">
        <v>0</v>
      </c>
      <c r="J172" s="6">
        <v>-2200.2399999999998</v>
      </c>
      <c r="K172" s="5">
        <f t="shared" si="4"/>
        <v>604.94000000000005</v>
      </c>
      <c r="L172" s="6"/>
      <c r="M172" s="10">
        <f t="shared" si="5"/>
        <v>604.94000000000005</v>
      </c>
      <c r="N172" s="3" t="s">
        <v>288</v>
      </c>
    </row>
    <row r="174" spans="1:14" ht="15.75" thickBot="1" x14ac:dyDescent="0.3">
      <c r="A174" s="4"/>
      <c r="B174" s="7" t="s">
        <v>281</v>
      </c>
      <c r="C174" s="7"/>
      <c r="D174" s="7"/>
      <c r="E174" s="7"/>
      <c r="F174" s="8">
        <f t="shared" ref="F174:K174" si="6">SUM(F36:F173)</f>
        <v>2579595.6799999997</v>
      </c>
      <c r="G174" s="8">
        <f t="shared" si="6"/>
        <v>375956.99999999994</v>
      </c>
      <c r="H174" s="8">
        <f t="shared" si="6"/>
        <v>19730.249999999996</v>
      </c>
      <c r="I174" s="8">
        <f t="shared" si="6"/>
        <v>-1287.7</v>
      </c>
      <c r="J174" s="8">
        <f t="shared" si="6"/>
        <v>58379.78</v>
      </c>
      <c r="K174" s="8">
        <f t="shared" si="6"/>
        <v>3032375.0100000007</v>
      </c>
      <c r="L174" s="8"/>
      <c r="M174" s="8">
        <f>SUM(M36:M173)</f>
        <v>3032375.0100000007</v>
      </c>
      <c r="N174" s="8"/>
    </row>
  </sheetData>
  <pageMargins left="0.75" right="0.75" top="1" bottom="1" header="0.5" footer="0.5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39D6102C2C7C844B74C20FFC62C7377" ma:contentTypeVersion="14" ma:contentTypeDescription="Create a new document." ma:contentTypeScope="" ma:versionID="a8760334f09fc1520c15cf2ce5e0a16c">
  <xsd:schema xmlns:xsd="http://www.w3.org/2001/XMLSchema" xmlns:xs="http://www.w3.org/2001/XMLSchema" xmlns:p="http://schemas.microsoft.com/office/2006/metadata/properties" xmlns:ns2="0af28686-d4fa-47eb-a14d-a544360cd585" xmlns:ns3="488603ac-a35a-4824-9bd8-5ff81b378de7" targetNamespace="http://schemas.microsoft.com/office/2006/metadata/properties" ma:root="true" ma:fieldsID="bea4474cb6ad82315046e07b0b5738e9" ns2:_="" ns3:_="">
    <xsd:import namespace="0af28686-d4fa-47eb-a14d-a544360cd585"/>
    <xsd:import namespace="488603ac-a35a-4824-9bd8-5ff81b378d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f28686-d4fa-47eb-a14d-a544360cd58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ffc7f8f7-8964-45e9-9d65-99dc9c7a8da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8603ac-a35a-4824-9bd8-5ff81b378de7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4ba4b143-ac32-4bd0-8957-40dbe722163d}" ma:internalName="TaxCatchAll" ma:showField="CatchAllData" ma:web="488603ac-a35a-4824-9bd8-5ff81b378d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88603ac-a35a-4824-9bd8-5ff81b378de7" xsi:nil="true"/>
    <lcf76f155ced4ddcb4097134ff3c332f xmlns="0af28686-d4fa-47eb-a14d-a544360cd58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06663F9-8DAF-4121-8AD1-150D4560BCEC}"/>
</file>

<file path=customXml/itemProps2.xml><?xml version="1.0" encoding="utf-8"?>
<ds:datastoreItem xmlns:ds="http://schemas.openxmlformats.org/officeDocument/2006/customXml" ds:itemID="{671562E8-F796-4F0F-A88F-46328F54D53C}"/>
</file>

<file path=customXml/itemProps3.xml><?xml version="1.0" encoding="utf-8"?>
<ds:datastoreItem xmlns:ds="http://schemas.openxmlformats.org/officeDocument/2006/customXml" ds:itemID="{7E572CDD-4CA6-4E10-8A8E-FB3E9B26B7A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 aging report (71)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Blessing Adetoso</dc:creator>
  <cp:lastModifiedBy>Blessing Adetoso</cp:lastModifiedBy>
  <dcterms:created xsi:type="dcterms:W3CDTF">2026-10-27T16:23:19Z</dcterms:created>
  <dcterms:modified xsi:type="dcterms:W3CDTF">2026-10-27T16:27:18Z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0x010100D39D6102C2C7C844B74C20FFC62C7377</vt:lpwstr>
  </property>
</Properties>
</file>